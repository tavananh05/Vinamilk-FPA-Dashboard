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tavan\Downloads\"/>
    </mc:Choice>
  </mc:AlternateContent>
  <xr:revisionPtr revIDLastSave="0" documentId="13_ncr:1_{27FE67C9-4365-4F33-9DAA-0F2D36AD113C}" xr6:coauthVersionLast="47" xr6:coauthVersionMax="47" xr10:uidLastSave="{00000000-0000-0000-0000-000000000000}"/>
  <bookViews>
    <workbookView xWindow="-110" yWindow="-110" windowWidth="19420" windowHeight="10300" activeTab="3" xr2:uid="{9C0C4E6A-BEDB-42FA-828F-F101381411F5}"/>
  </bookViews>
  <sheets>
    <sheet name="Table1" sheetId="6" r:id="rId1"/>
    <sheet name="BCTC_Tom_Tat" sheetId="4" r:id="rId2"/>
    <sheet name="Xử lí" sheetId="7" r:id="rId3"/>
    <sheet name="Dashboard" sheetId="8" r:id="rId4"/>
  </sheets>
  <definedNames>
    <definedName name="ExternalData_1" localSheetId="0" hidden="1">Table1!$A$1:$D$185</definedName>
    <definedName name="Slicer_Chỉ_tiêu">#N/A</definedName>
    <definedName name="Slicer_Năm">#N/A</definedName>
    <definedName name="Slicer_Nhóm">#N/A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7" l="1"/>
  <c r="Q5" i="7"/>
  <c r="R5" i="7" l="1"/>
  <c r="R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2FD89F-8B48-4B6A-8000-00DFF0FB08DB}" keepAlive="1" name="Query - Errors in Table1" description="Connection to the 'Errors in Table1' query in the workbook." type="5" refreshedVersion="0" background="1">
    <dbPr connection="Provider=Microsoft.Mashup.OleDb.1;Data Source=$Workbook$;Location=&quot;Errors in Table1&quot;;Extended Properties=&quot;&quot;" command="SELECT * FROM [Errors in Table1]"/>
  </connection>
  <connection id="2" xr16:uid="{17B9129C-418E-4741-96E6-6706D98C8261}" keepAlive="1" name="Query - Errors in Table1 (2)" description="Connection to the 'Errors in Table1 (2)' query in the workbook." type="5" refreshedVersion="0" background="1">
    <dbPr connection="Provider=Microsoft.Mashup.OleDb.1;Data Source=$Workbook$;Location=&quot;Errors in Table1 (2)&quot;;Extended Properties=&quot;&quot;" command="SELECT * FROM [Errors in Table1 (2)]"/>
  </connection>
  <connection id="3" xr16:uid="{3FC229BB-C3F8-4C7C-826A-0BD04FB1DA4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<sst xmlns="http://schemas.openxmlformats.org/spreadsheetml/2006/main" count="811" uniqueCount="218">
  <si>
    <t>Sum of Giá trị</t>
  </si>
  <si>
    <t>Column Labels</t>
  </si>
  <si>
    <t>Row Labels</t>
  </si>
  <si>
    <t>2024 Đã kiểm toán</t>
  </si>
  <si>
    <t>2025 Đã kiểm toán</t>
  </si>
  <si>
    <t>Bất động sản đầu tư</t>
  </si>
  <si>
    <t>Các khoản đầu tư tài chính dài hạn</t>
  </si>
  <si>
    <t>Các khoản đầu tư tài chính ngắn hạn</t>
  </si>
  <si>
    <t>Cân đối kế toán</t>
  </si>
  <si>
    <t>Chi phí bán hàng</t>
  </si>
  <si>
    <t>Chi phí quản lý doanh nghiệp</t>
  </si>
  <si>
    <t>Chi phí tài chính</t>
  </si>
  <si>
    <t>Chỉ số giá thị trường trên giá trị sổ sách (P/B)</t>
  </si>
  <si>
    <t>Chỉ số giá thị trường trên thu nhập (P/E)</t>
  </si>
  <si>
    <t>Chỉ số tài chính</t>
  </si>
  <si>
    <t>Doanh thu hoạt động tài chính</t>
  </si>
  <si>
    <t>Doanh thu thuần về bán hàng và cung cấp dịch vụ</t>
  </si>
  <si>
    <t>Giá trị sổ sách của cổ phiếu (BVPS)</t>
  </si>
  <si>
    <t>Giá vốn hàng bán</t>
  </si>
  <si>
    <t>Hàng tồn kho</t>
  </si>
  <si>
    <t>Khả năng thanh toán lãi vay</t>
  </si>
  <si>
    <t>Lãi cơ bản trên cổ phiếu (VNÐ)</t>
  </si>
  <si>
    <t>Lợi ích của cổ đông thiểu số</t>
  </si>
  <si>
    <t>Lợi nhuận gộp về bán hàng và cung cấp dịch vụ</t>
  </si>
  <si>
    <t>Lợi nhuận khác</t>
  </si>
  <si>
    <t>Lợi nhuận sau thuế của cổ đông Công ty mẹ</t>
  </si>
  <si>
    <t>Lợi nhuận sau thuế chưa phân phối</t>
  </si>
  <si>
    <t>Lợi nhuận sau thuế thu nhập doanh nghiệp</t>
  </si>
  <si>
    <t>Lợi nhuận thuần từ hoạt động kinh doanh</t>
  </si>
  <si>
    <t>Nợ dài hạn</t>
  </si>
  <si>
    <t>Nợ ngắn hạn</t>
  </si>
  <si>
    <t>Nợ phải trả</t>
  </si>
  <si>
    <t>Phần lợi nhuận/lỗ từ công ty liên kết liên doanh</t>
  </si>
  <si>
    <t>Tài sản cố định</t>
  </si>
  <si>
    <t>Tài sản dài hạn</t>
  </si>
  <si>
    <t>Tài sản ngắn hạn</t>
  </si>
  <si>
    <t>Tài sản ngắn hạn khác</t>
  </si>
  <si>
    <t>Tiền và các khoản tương đương tiền</t>
  </si>
  <si>
    <t>Tổng cộng nguồn vốn</t>
  </si>
  <si>
    <t>Tổng cộng tài sản</t>
  </si>
  <si>
    <t>Tổng lợi nhuận kế toán trước thuế</t>
  </si>
  <si>
    <t>Tỷ số Nợ trên Tổng tài sản</t>
  </si>
  <si>
    <t>Tỷ số Nợ vay trên Vốn chủ sở hữu</t>
  </si>
  <si>
    <t>Tỷ số thanh toán hiện hành (ngắn hạn)</t>
  </si>
  <si>
    <t>Tỷ suất lợi nhuận gộp biên</t>
  </si>
  <si>
    <t>Tỷ suất lợi nhuận trên vốn chủ sở hữu bình quân (ROEA)</t>
  </si>
  <si>
    <t>Tỷ suất sinh lợi trên doanh thu thuần</t>
  </si>
  <si>
    <t>Tỷ suất sinh lợi trên tổng tài sản bình quân (ROAA)</t>
  </si>
  <si>
    <t>Thặng dư vốn cổ phần</t>
  </si>
  <si>
    <t>Thu nhập trên mỗi cổ phần của 4 quý gần nhất (EPS)</t>
  </si>
  <si>
    <t>Vốn chủ sở hữu</t>
  </si>
  <si>
    <t>Vốn đầu tư của chủ sở hữu</t>
  </si>
  <si>
    <t>Kết quả kinh doanh</t>
  </si>
  <si>
    <t>Năm</t>
  </si>
  <si>
    <t>Giá trị</t>
  </si>
  <si>
    <t>2022 Đã kiểm toán</t>
  </si>
  <si>
    <t>2023 Đã kiểm toán</t>
  </si>
  <si>
    <t>Các khoản phải thu ngắn hạn</t>
  </si>
  <si>
    <t>617.54</t>
  </si>
  <si>
    <t>503.12</t>
  </si>
  <si>
    <t>428.24</t>
  </si>
  <si>
    <t>350.23</t>
  </si>
  <si>
    <t>4.47</t>
  </si>
  <si>
    <t>64.27</t>
  </si>
  <si>
    <t>5.68</t>
  </si>
  <si>
    <t>-9.79</t>
  </si>
  <si>
    <t>-24.48</t>
  </si>
  <si>
    <t>-80.63</t>
  </si>
  <si>
    <t>32.00</t>
  </si>
  <si>
    <t>-150.56</t>
  </si>
  <si>
    <t>208.42</t>
  </si>
  <si>
    <t>228.82</t>
  </si>
  <si>
    <t>147.02</t>
  </si>
  <si>
    <t>244.44</t>
  </si>
  <si>
    <t>57.59</t>
  </si>
  <si>
    <t>55.59</t>
  </si>
  <si>
    <t>53.62</t>
  </si>
  <si>
    <t>51.75</t>
  </si>
  <si>
    <t>742.67</t>
  </si>
  <si>
    <t>831.23</t>
  </si>
  <si>
    <t>957.07</t>
  </si>
  <si>
    <t>357.72</t>
  </si>
  <si>
    <t>508.94</t>
  </si>
  <si>
    <t>415.11</t>
  </si>
  <si>
    <t>309.07</t>
  </si>
  <si>
    <t>34.11</t>
  </si>
  <si>
    <t>-</t>
  </si>
  <si>
    <t>4.52</t>
  </si>
  <si>
    <t>3.80</t>
  </si>
  <si>
    <t>4.02</t>
  </si>
  <si>
    <t>4.03</t>
  </si>
  <si>
    <t>17.15</t>
  </si>
  <si>
    <t>15.17</t>
  </si>
  <si>
    <t>15.44</t>
  </si>
  <si>
    <t>14.68</t>
  </si>
  <si>
    <t>19.12</t>
  </si>
  <si>
    <t>17.89</t>
  </si>
  <si>
    <t>15.67</t>
  </si>
  <si>
    <t>15.14</t>
  </si>
  <si>
    <t>43.14</t>
  </si>
  <si>
    <t>40.58</t>
  </si>
  <si>
    <t>41.39</t>
  </si>
  <si>
    <t>14.67</t>
  </si>
  <si>
    <t>15.19</t>
  </si>
  <si>
    <t>29.38</t>
  </si>
  <si>
    <t>25.34</t>
  </si>
  <si>
    <t>25.96</t>
  </si>
  <si>
    <t>30.67</t>
  </si>
  <si>
    <t>19.75</t>
  </si>
  <si>
    <t>16.85</t>
  </si>
  <si>
    <t>17.06</t>
  </si>
  <si>
    <t>17.65</t>
  </si>
  <si>
    <t>32.78</t>
  </si>
  <si>
    <t>33.50</t>
  </si>
  <si>
    <t>34.29</t>
  </si>
  <si>
    <t>35.32</t>
  </si>
  <si>
    <t>Chỉ tiêu</t>
  </si>
  <si>
    <t>Nhóm</t>
  </si>
  <si>
    <t>KQKD</t>
  </si>
  <si>
    <t>CĐKT</t>
  </si>
  <si>
    <t>Chỉ số</t>
  </si>
  <si>
    <t>59,956.25</t>
  </si>
  <si>
    <t>60,368.92</t>
  </si>
  <si>
    <t>61,782.61</t>
  </si>
  <si>
    <t>63,645.89</t>
  </si>
  <si>
    <t>36,059.02</t>
  </si>
  <si>
    <t>35,824.18</t>
  </si>
  <si>
    <t>36,192.43</t>
  </si>
  <si>
    <t>37,436.41</t>
  </si>
  <si>
    <t>23,897.23</t>
  </si>
  <si>
    <t>24,544.73</t>
  </si>
  <si>
    <t>25,590.18</t>
  </si>
  <si>
    <t>26,209.47</t>
  </si>
  <si>
    <t>1,379.90</t>
  </si>
  <si>
    <t>1,716.37</t>
  </si>
  <si>
    <t>1,585.66</t>
  </si>
  <si>
    <t>1,496.85</t>
  </si>
  <si>
    <t>12,548.21</t>
  </si>
  <si>
    <t>13,018.09</t>
  </si>
  <si>
    <t>13,357.71</t>
  </si>
  <si>
    <t>13,641.69</t>
  </si>
  <si>
    <t>1,595.85</t>
  </si>
  <si>
    <t>1,755.62</t>
  </si>
  <si>
    <t>1,827.92</t>
  </si>
  <si>
    <t>1,904.07</t>
  </si>
  <si>
    <t>10,491.06</t>
  </si>
  <si>
    <t>10,903.63</t>
  </si>
  <si>
    <t>11,593.98</t>
  </si>
  <si>
    <t>11,659.77</t>
  </si>
  <si>
    <t>10,495.53</t>
  </si>
  <si>
    <t>10,967.90</t>
  </si>
  <si>
    <t>11,599.65</t>
  </si>
  <si>
    <t>11,649.99</t>
  </si>
  <si>
    <t>8,577.58</t>
  </si>
  <si>
    <t>9,019.35</t>
  </si>
  <si>
    <t>9,452.89</t>
  </si>
  <si>
    <t>9,413.59</t>
  </si>
  <si>
    <t>8,516.02</t>
  </si>
  <si>
    <t>8,873.81</t>
  </si>
  <si>
    <t>9,392.31</t>
  </si>
  <si>
    <t>9,410.20</t>
  </si>
  <si>
    <t>3,632.00</t>
  </si>
  <si>
    <t>3,796.00</t>
  </si>
  <si>
    <t>4,022.00</t>
  </si>
  <si>
    <t>4,028.00</t>
  </si>
  <si>
    <t>31,560.38</t>
  </si>
  <si>
    <t>35,935.88</t>
  </si>
  <si>
    <t>37,553.65</t>
  </si>
  <si>
    <t>36,261.18</t>
  </si>
  <si>
    <t>2,299.94</t>
  </si>
  <si>
    <t>2,912.03</t>
  </si>
  <si>
    <t>2,225.94</t>
  </si>
  <si>
    <t>1,794.88</t>
  </si>
  <si>
    <t>17,414.06</t>
  </si>
  <si>
    <t>20,137.24</t>
  </si>
  <si>
    <t>23,260.09</t>
  </si>
  <si>
    <t>21,354.86</t>
  </si>
  <si>
    <t>6,100.40</t>
  </si>
  <si>
    <t>6,529.71</t>
  </si>
  <si>
    <t>6,233.76</t>
  </si>
  <si>
    <t>6,027.72</t>
  </si>
  <si>
    <t>5,537.56</t>
  </si>
  <si>
    <t>6,128.08</t>
  </si>
  <si>
    <t>5,686.84</t>
  </si>
  <si>
    <t>6,839.28</t>
  </si>
  <si>
    <t>16,922.28</t>
  </si>
  <si>
    <t>16,737.49</t>
  </si>
  <si>
    <t>17,495.41</t>
  </si>
  <si>
    <t>17,051.16</t>
  </si>
  <si>
    <t>11,903.21</t>
  </si>
  <si>
    <t>12,689.65</t>
  </si>
  <si>
    <t>12,550.56</t>
  </si>
  <si>
    <t>12,648.92</t>
  </si>
  <si>
    <t>1,373.19</t>
  </si>
  <si>
    <t>48,482.66</t>
  </si>
  <si>
    <t>52,673.37</t>
  </si>
  <si>
    <t>55,049.06</t>
  </si>
  <si>
    <t>53,312.34</t>
  </si>
  <si>
    <t>15,666.15</t>
  </si>
  <si>
    <t>17,647.63</t>
  </si>
  <si>
    <t>18,874.66</t>
  </si>
  <si>
    <t>18,829.36</t>
  </si>
  <si>
    <t>15,308.42</t>
  </si>
  <si>
    <t>17,138.69</t>
  </si>
  <si>
    <t>18,459.55</t>
  </si>
  <si>
    <t>18,520.29</t>
  </si>
  <si>
    <t>32,816.52</t>
  </si>
  <si>
    <t>35,025.74</t>
  </si>
  <si>
    <t>36,174.40</t>
  </si>
  <si>
    <t>30,685.38</t>
  </si>
  <si>
    <t>20,899.55</t>
  </si>
  <si>
    <t>3,353.47</t>
  </si>
  <si>
    <t>3,926.23</t>
  </si>
  <si>
    <t>3,471.22</t>
  </si>
  <si>
    <t>2,967.47</t>
  </si>
  <si>
    <t>3,328.93</t>
  </si>
  <si>
    <t>3,895.58</t>
  </si>
  <si>
    <t>49,514.74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</si>
</sst>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rgb="FF000000"/>
      <name val="Calibri"/>
      <family val="2"/>
      <charset val="163"/>
      <scheme val="minor"/>
    </font>
    <font>
      <sz val="11"/>
      <color theme="1"/>
      <name val="Calibri"/>
      <family val="2"/>
      <charset val="163"/>
      <scheme val="minor"/>
    </font>
    <font>
      <sz val="18"/>
      <color theme="3"/>
      <name val="Calibri Light"/>
      <family val="2"/>
      <charset val="163"/>
      <scheme val="major"/>
    </font>
    <font>
      <b/>
      <sz val="15"/>
      <color theme="3"/>
      <name val="Calibri"/>
      <family val="2"/>
      <charset val="163"/>
      <scheme val="minor"/>
    </font>
    <font>
      <b/>
      <sz val="13"/>
      <color theme="3"/>
      <name val="Calibri"/>
      <family val="2"/>
      <charset val="163"/>
      <scheme val="minor"/>
    </font>
    <font>
      <b/>
      <sz val="11"/>
      <color theme="3"/>
      <name val="Calibri"/>
      <family val="2"/>
      <charset val="163"/>
      <scheme val="minor"/>
    </font>
    <font>
      <sz val="11"/>
      <color rgb="FF006100"/>
      <name val="Calibri"/>
      <family val="2"/>
      <charset val="163"/>
      <scheme val="minor"/>
    </font>
    <font>
      <sz val="11"/>
      <color rgb="FF9C0006"/>
      <name val="Calibri"/>
      <family val="2"/>
      <charset val="163"/>
      <scheme val="minor"/>
    </font>
    <font>
      <sz val="11"/>
      <color rgb="FF9C5700"/>
      <name val="Calibri"/>
      <family val="2"/>
      <charset val="163"/>
      <scheme val="minor"/>
    </font>
    <font>
      <sz val="11"/>
      <color rgb="FF3F3F76"/>
      <name val="Calibri"/>
      <family val="2"/>
      <charset val="163"/>
      <scheme val="minor"/>
    </font>
    <font>
      <b/>
      <sz val="11"/>
      <color rgb="FF3F3F3F"/>
      <name val="Calibri"/>
      <family val="2"/>
      <charset val="163"/>
      <scheme val="minor"/>
    </font>
    <font>
      <b/>
      <sz val="11"/>
      <color rgb="FFFA7D00"/>
      <name val="Calibri"/>
      <family val="2"/>
      <charset val="163"/>
      <scheme val="minor"/>
    </font>
    <font>
      <sz val="11"/>
      <color rgb="FFFA7D00"/>
      <name val="Calibri"/>
      <family val="2"/>
      <charset val="163"/>
      <scheme val="minor"/>
    </font>
    <font>
      <b/>
      <sz val="11"/>
      <color theme="0"/>
      <name val="Calibri"/>
      <family val="2"/>
      <charset val="163"/>
      <scheme val="minor"/>
    </font>
    <font>
      <sz val="11"/>
      <color rgb="FFFF0000"/>
      <name val="Calibri"/>
      <family val="2"/>
      <charset val="163"/>
      <scheme val="minor"/>
    </font>
    <font>
      <i/>
      <sz val="11"/>
      <color rgb="FF7F7F7F"/>
      <name val="Calibri"/>
      <family val="2"/>
      <charset val="163"/>
      <scheme val="minor"/>
    </font>
    <font>
      <b/>
      <sz val="11"/>
      <color theme="1"/>
      <name val="Calibri"/>
      <family val="2"/>
      <charset val="163"/>
      <scheme val="minor"/>
    </font>
    <font>
      <sz val="11"/>
      <color theme="0"/>
      <name val="Calibri"/>
      <family val="2"/>
      <charset val="163"/>
      <scheme val="minor"/>
    </font>
    <font>
      <b/>
      <sz val="11"/>
      <color rgb="FFFFFFFF"/>
      <name val="Arial"/>
      <family val="2"/>
    </font>
    <font>
      <b/>
      <sz val="11"/>
      <color rgb="FF000000"/>
      <name val="Arial"/>
      <family val="2"/>
    </font>
    <font>
      <sz val="11"/>
      <color rgb="FF000000"/>
      <name val="Arial"/>
      <family val="2"/>
    </font>
    <font>
      <sz val="11"/>
      <color rgb="FFC32022"/>
      <name val="Arial"/>
      <family val="2"/>
    </font>
    <font>
      <sz val="8"/>
      <name val="Calibri"/>
      <family val="2"/>
      <charset val="163"/>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1F2"/>
        <bgColor rgb="FFD9E1F2"/>
      </patternFill>
    </fill>
    <fill>
      <patternFill patternType="solid">
        <fgColor rgb="FF4472C4"/>
        <bgColor rgb="FF4472C4"/>
      </patternFill>
    </fill>
    <fill>
      <patternFill patternType="solid">
        <fgColor rgb="FFF8F8F8"/>
        <bgColor rgb="FF000000"/>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applyAlignment="1">
      <alignment horizontal="left"/>
    </xf>
    <xf numFmtId="2" fontId="19" fillId="35" borderId="10" xfId="0" applyNumberFormat="1" applyFont="1" applyFill="1" applyBorder="1" applyAlignment="1">
      <alignment horizontal="right" wrapText="1"/>
    </xf>
    <xf numFmtId="2" fontId="20" fillId="0" borderId="10" xfId="0" applyNumberFormat="1" applyFont="1" applyBorder="1" applyAlignment="1">
      <alignment horizontal="right" wrapText="1"/>
    </xf>
    <xf numFmtId="2" fontId="20" fillId="33" borderId="10" xfId="0" applyNumberFormat="1" applyFont="1" applyFill="1" applyBorder="1" applyAlignment="1">
      <alignment horizontal="right" wrapText="1"/>
    </xf>
    <xf numFmtId="2" fontId="21" fillId="0" borderId="10" xfId="0" applyNumberFormat="1" applyFont="1" applyBorder="1" applyAlignment="1">
      <alignment horizontal="right" wrapText="1"/>
    </xf>
    <xf numFmtId="2" fontId="19" fillId="33" borderId="10" xfId="0" applyNumberFormat="1" applyFont="1" applyFill="1" applyBorder="1" applyAlignment="1">
      <alignment horizontal="left" vertical="center" wrapText="1"/>
    </xf>
    <xf numFmtId="2" fontId="19" fillId="0" borderId="10" xfId="0" applyNumberFormat="1" applyFont="1" applyBorder="1" applyAlignment="1">
      <alignment horizontal="left" vertical="center" wrapText="1"/>
    </xf>
    <xf numFmtId="0" fontId="19" fillId="35" borderId="11" xfId="0" applyFont="1" applyFill="1" applyBorder="1" applyAlignment="1">
      <alignment horizontal="left" wrapText="1"/>
    </xf>
    <xf numFmtId="0" fontId="20" fillId="0" borderId="11" xfId="0" applyFont="1" applyBorder="1" applyAlignment="1">
      <alignment horizontal="left" wrapText="1"/>
    </xf>
    <xf numFmtId="0" fontId="20" fillId="33" borderId="11" xfId="0" applyFont="1" applyFill="1" applyBorder="1" applyAlignment="1">
      <alignment horizontal="left" wrapText="1"/>
    </xf>
    <xf numFmtId="0" fontId="19" fillId="33" borderId="11" xfId="0" applyFont="1" applyFill="1" applyBorder="1" applyAlignment="1">
      <alignment horizontal="left" vertical="center" wrapText="1"/>
    </xf>
    <xf numFmtId="0" fontId="19" fillId="0" borderId="11" xfId="0" applyFont="1" applyBorder="1" applyAlignment="1">
      <alignment horizontal="left" vertical="center" wrapText="1"/>
    </xf>
    <xf numFmtId="2" fontId="19" fillId="35" borderId="12" xfId="0" applyNumberFormat="1" applyFont="1" applyFill="1" applyBorder="1" applyAlignment="1">
      <alignment horizontal="right" wrapText="1"/>
    </xf>
    <xf numFmtId="2" fontId="20" fillId="0" borderId="12" xfId="0" applyNumberFormat="1" applyFont="1" applyBorder="1" applyAlignment="1">
      <alignment horizontal="right" wrapText="1"/>
    </xf>
    <xf numFmtId="2" fontId="20" fillId="33" borderId="12" xfId="0" applyNumberFormat="1" applyFont="1" applyFill="1" applyBorder="1" applyAlignment="1">
      <alignment horizontal="right" wrapText="1"/>
    </xf>
    <xf numFmtId="2" fontId="21" fillId="33" borderId="12" xfId="0" applyNumberFormat="1" applyFont="1" applyFill="1" applyBorder="1" applyAlignment="1">
      <alignment horizontal="right" wrapText="1"/>
    </xf>
    <xf numFmtId="2" fontId="21" fillId="0" borderId="12" xfId="0" applyNumberFormat="1" applyFont="1" applyBorder="1" applyAlignment="1">
      <alignment horizontal="right" wrapText="1"/>
    </xf>
    <xf numFmtId="2" fontId="19" fillId="33" borderId="12" xfId="0" applyNumberFormat="1" applyFont="1" applyFill="1" applyBorder="1" applyAlignment="1">
      <alignment horizontal="left" vertical="center" wrapText="1"/>
    </xf>
    <xf numFmtId="2" fontId="19" fillId="0" borderId="12" xfId="0" applyNumberFormat="1" applyFont="1" applyBorder="1" applyAlignment="1">
      <alignment horizontal="left" vertical="center" wrapText="1"/>
    </xf>
    <xf numFmtId="0" fontId="18" fillId="34" borderId="13" xfId="0" applyFont="1" applyFill="1" applyBorder="1" applyAlignment="1">
      <alignment horizontal="left" vertical="center" wrapText="1"/>
    </xf>
    <xf numFmtId="0" fontId="18" fillId="34" borderId="14" xfId="0" applyFont="1" applyFill="1" applyBorder="1" applyAlignment="1">
      <alignment horizontal="left" vertical="center" wrapText="1"/>
    </xf>
    <xf numFmtId="0" fontId="18" fillId="34" borderId="15" xfId="0" applyFont="1" applyFill="1" applyBorder="1" applyAlignment="1">
      <alignment horizontal="left" vertical="center" wrapText="1"/>
    </xf>
    <xf numFmtId="0" fontId="20" fillId="0" borderId="16" xfId="0" applyFont="1" applyBorder="1" applyAlignment="1">
      <alignment horizontal="left" wrapText="1"/>
    </xf>
    <xf numFmtId="2" fontId="20" fillId="0" borderId="17" xfId="0" applyNumberFormat="1" applyFont="1" applyBorder="1" applyAlignment="1">
      <alignment horizontal="right" wrapText="1"/>
    </xf>
    <xf numFmtId="2" fontId="20" fillId="0" borderId="18" xfId="0" applyNumberFormat="1" applyFont="1" applyBorder="1" applyAlignment="1">
      <alignment horizontal="right" wrapText="1"/>
    </xf>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Arial"/>
        <family val="2"/>
        <scheme val="none"/>
      </font>
      <numFmt numFmtId="2" formatCode="0.00"/>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rgb="FF000000"/>
        <name val="Arial"/>
        <family val="2"/>
        <scheme val="none"/>
      </font>
      <numFmt numFmtId="2" formatCode="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rgb="FF000000"/>
        <name val="Arial"/>
        <family val="2"/>
        <scheme val="none"/>
      </font>
      <numFmt numFmtId="2" formatCode="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rgb="FF000000"/>
        <name val="Arial"/>
        <family val="2"/>
        <scheme val="none"/>
      </font>
      <numFmt numFmtId="2" formatCode="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rgb="FF000000"/>
        <name val="Arial"/>
        <family val="2"/>
        <scheme val="none"/>
      </font>
      <alignment horizontal="lef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rgb="FF000000"/>
        <name val="Arial"/>
        <family val="2"/>
        <scheme val="none"/>
      </font>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rgb="FFFFFFFF"/>
        <name val="Arial"/>
        <family val="2"/>
        <scheme val="none"/>
      </font>
      <fill>
        <patternFill patternType="solid">
          <fgColor rgb="FF4472C4"/>
          <bgColor rgb="FF4472C4"/>
        </patternFill>
      </fill>
      <alignment horizontal="left"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[VNM_BCTC_Tom_Tat.xls.xlsx]Xử lí!PivotTable2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Doanh thu thuần &amp; LNST (Tỷ VNĐ)</a:t>
            </a:r>
            <a:endParaRPr lang="en-US"/>
          </a:p>
        </c:rich>
      </c:tx>
      <c:layout>
        <c:manualLayout>
          <c:xMode val="edge"/>
          <c:yMode val="edge"/>
          <c:x val="0.19237032610230514"/>
          <c:y val="5.0912841370236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'Xử lí'!$B$3:$B$4</c:f>
              <c:strCache>
                <c:ptCount val="1"/>
                <c:pt idx="0">
                  <c:v>Doanh thu thuần về bán hàng và cung cấp dịch vụ</c:v>
                </c:pt>
              </c:strCache>
            </c:strRef>
          </c:tx>
          <c:spPr>
            <a:solidFill>
              <a:schemeClr val="accent1"/>
            </a:solidFill>
            <a:ln>
              <a:noFill/>
            </a:ln>
            <a:effectLst/>
          </c:spPr>
          <c:invertIfNegative val="0"/>
          <c:cat>
            <c:strRef>
              <c:f>'Xử lí'!$A$5:$A$8</c:f>
              <c:strCache>
                <c:ptCount val="4"/>
                <c:pt idx="0">
                  <c:v>2022</c:v>
                </c:pt>
                <c:pt idx="1">
                  <c:v>2023</c:v>
                </c:pt>
                <c:pt idx="2">
                  <c:v>2024</c:v>
                </c:pt>
                <c:pt idx="3">
                  <c:v>2025</c:v>
                </c:pt>
              </c:strCache>
            </c:strRef>
          </c:cat>
          <c:val>
            <c:numRef>
              <c:f>'Xử lí'!$B$5:$B$8</c:f>
              <c:numCache>
                <c:formatCode>General</c:formatCode>
                <c:ptCount val="4"/>
                <c:pt idx="0">
                  <c:v>59956.25</c:v>
                </c:pt>
                <c:pt idx="1">
                  <c:v>60368.92</c:v>
                </c:pt>
                <c:pt idx="2">
                  <c:v>61782.61</c:v>
                </c:pt>
                <c:pt idx="3">
                  <c:v>63645.89</c:v>
                </c:pt>
              </c:numCache>
            </c:numRef>
          </c:val>
          <c:extLst>
            <c:ext xmlns:c16="http://schemas.microsoft.com/office/drawing/2014/chart" uri="{C3380CC4-5D6E-409C-BE32-E72D297353CC}">
              <c16:uniqueId val="{00000000-181E-4954-B1A3-628A620A27B0}"/>
            </c:ext>
          </c:extLst>
        </c:ser>
        <c:ser>
          <c:idx val="1"/>
          <c:order val="1"/>
          <c:tx>
            <c:strRef>
              <c:f>'Xử lí'!$C$3:$C$4</c:f>
              <c:strCache>
                <c:ptCount val="1"/>
                <c:pt idx="0">
                  <c:v>Lợi nhuận sau thuế thu nhập doanh nghiệp</c:v>
                </c:pt>
              </c:strCache>
            </c:strRef>
          </c:tx>
          <c:spPr>
            <a:solidFill>
              <a:schemeClr val="accent1"/>
            </a:solidFill>
            <a:ln>
              <a:noFill/>
            </a:ln>
            <a:effectLst/>
          </c:spPr>
          <c:invertIfNegative val="0"/>
          <c:cat>
            <c:strRef>
              <c:f>'Xử lí'!$A$5:$A$8</c:f>
              <c:strCache>
                <c:ptCount val="4"/>
                <c:pt idx="0">
                  <c:v>2022</c:v>
                </c:pt>
                <c:pt idx="1">
                  <c:v>2023</c:v>
                </c:pt>
                <c:pt idx="2">
                  <c:v>2024</c:v>
                </c:pt>
                <c:pt idx="3">
                  <c:v>2025</c:v>
                </c:pt>
              </c:strCache>
            </c:strRef>
          </c:cat>
          <c:val>
            <c:numRef>
              <c:f>'Xử lí'!$C$5:$C$8</c:f>
              <c:numCache>
                <c:formatCode>General</c:formatCode>
                <c:ptCount val="4"/>
                <c:pt idx="0">
                  <c:v>8577.58</c:v>
                </c:pt>
                <c:pt idx="1">
                  <c:v>9019.35</c:v>
                </c:pt>
                <c:pt idx="2">
                  <c:v>9452.89</c:v>
                </c:pt>
                <c:pt idx="3">
                  <c:v>9413.59</c:v>
                </c:pt>
              </c:numCache>
            </c:numRef>
          </c:val>
          <c:extLst>
            <c:ext xmlns:c16="http://schemas.microsoft.com/office/drawing/2014/chart" uri="{C3380CC4-5D6E-409C-BE32-E72D297353CC}">
              <c16:uniqueId val="{00000001-0DC3-4CDE-B227-58CE5F28363D}"/>
            </c:ext>
          </c:extLst>
        </c:ser>
        <c:dLbls>
          <c:showLegendKey val="0"/>
          <c:showVal val="0"/>
          <c:showCatName val="0"/>
          <c:showSerName val="0"/>
          <c:showPercent val="0"/>
          <c:showBubbleSize val="0"/>
        </c:dLbls>
        <c:gapWidth val="219"/>
        <c:overlap val="-27"/>
        <c:axId val="1072941103"/>
        <c:axId val="431720943"/>
      </c:barChart>
      <c:catAx>
        <c:axId val="107294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20943"/>
        <c:crosses val="autoZero"/>
        <c:auto val="1"/>
        <c:lblAlgn val="ctr"/>
        <c:lblOffset val="100"/>
        <c:noMultiLvlLbl val="0"/>
      </c:catAx>
      <c:valAx>
        <c:axId val="4317209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94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[VNM_BCTC_Tom_Tat.xls.xlsx]Xử lí!PivotTable3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Tỷ suất sinh lời ROE &amp; ROA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'Xử lí'!$B$108:$B$109</c:f>
              <c:strCache>
                <c:ptCount val="1"/>
                <c:pt idx="0">
                  <c:v>Tỷ suất lợi nhuận trên vốn chủ sở hữu bình quân (ROEA)</c:v>
                </c:pt>
              </c:strCache>
            </c:strRef>
          </c:tx>
          <c:spPr>
            <a:ln w="28575" cap="rnd">
              <a:solidFill>
                <a:schemeClr val="accent1"/>
              </a:solidFill>
              <a:round/>
            </a:ln>
            <a:effectLst/>
          </c:spPr>
          <c:marker>
            <c:symbol val="none"/>
          </c:marker>
          <c:cat>
            <c:strRef>
              <c:f>'Xử lí'!$A$110:$A$113</c:f>
              <c:strCache>
                <c:ptCount val="4"/>
                <c:pt idx="0">
                  <c:v>2022</c:v>
                </c:pt>
                <c:pt idx="1">
                  <c:v>2023</c:v>
                </c:pt>
                <c:pt idx="2">
                  <c:v>2024</c:v>
                </c:pt>
                <c:pt idx="3">
                  <c:v>2025</c:v>
                </c:pt>
              </c:strCache>
            </c:strRef>
          </c:cat>
          <c:val>
            <c:numRef>
              <c:f>'Xử lí'!$B$110:$B$113</c:f>
              <c:numCache>
                <c:formatCode>General</c:formatCode>
                <c:ptCount val="4"/>
                <c:pt idx="0">
                  <c:v>29.38</c:v>
                </c:pt>
                <c:pt idx="1">
                  <c:v>25.34</c:v>
                </c:pt>
                <c:pt idx="2">
                  <c:v>25.96</c:v>
                </c:pt>
                <c:pt idx="3">
                  <c:v>30.67</c:v>
                </c:pt>
              </c:numCache>
            </c:numRef>
          </c:val>
          <c:smooth val="0"/>
          <c:extLst>
            <c:ext xmlns:c16="http://schemas.microsoft.com/office/drawing/2014/chart" uri="{C3380CC4-5D6E-409C-BE32-E72D297353CC}">
              <c16:uniqueId val="{00000000-0C94-440F-972C-30BF31092947}"/>
            </c:ext>
          </c:extLst>
        </c:ser>
        <c:ser>
          <c:idx val="1"/>
          <c:order val="1"/>
          <c:tx>
            <c:strRef>
              <c:f>'Xử lí'!$C$108:$C$109</c:f>
              <c:strCache>
                <c:ptCount val="1"/>
                <c:pt idx="0">
                  <c:v>Tỷ suất sinh lợi trên tổng tài sản bình quân (ROAA)</c:v>
                </c:pt>
              </c:strCache>
            </c:strRef>
          </c:tx>
          <c:spPr>
            <a:ln w="28575" cap="rnd">
              <a:solidFill>
                <a:schemeClr val="accent2"/>
              </a:solidFill>
              <a:round/>
            </a:ln>
            <a:effectLst/>
          </c:spPr>
          <c:marker>
            <c:symbol val="none"/>
          </c:marker>
          <c:cat>
            <c:strRef>
              <c:f>'Xử lí'!$A$110:$A$113</c:f>
              <c:strCache>
                <c:ptCount val="4"/>
                <c:pt idx="0">
                  <c:v>2022</c:v>
                </c:pt>
                <c:pt idx="1">
                  <c:v>2023</c:v>
                </c:pt>
                <c:pt idx="2">
                  <c:v>2024</c:v>
                </c:pt>
                <c:pt idx="3">
                  <c:v>2025</c:v>
                </c:pt>
              </c:strCache>
            </c:strRef>
          </c:cat>
          <c:val>
            <c:numRef>
              <c:f>'Xử lí'!$C$110:$C$113</c:f>
              <c:numCache>
                <c:formatCode>General</c:formatCode>
                <c:ptCount val="4"/>
                <c:pt idx="0">
                  <c:v>19.75</c:v>
                </c:pt>
                <c:pt idx="1">
                  <c:v>16.850000000000001</c:v>
                </c:pt>
                <c:pt idx="2">
                  <c:v>17.059999999999999</c:v>
                </c:pt>
                <c:pt idx="3">
                  <c:v>17.649999999999999</c:v>
                </c:pt>
              </c:numCache>
            </c:numRef>
          </c:val>
          <c:smooth val="0"/>
          <c:extLst>
            <c:ext xmlns:c16="http://schemas.microsoft.com/office/drawing/2014/chart" uri="{C3380CC4-5D6E-409C-BE32-E72D297353CC}">
              <c16:uniqueId val="{00000001-0C94-440F-972C-30BF31092947}"/>
            </c:ext>
          </c:extLst>
        </c:ser>
        <c:dLbls>
          <c:showLegendKey val="0"/>
          <c:showVal val="0"/>
          <c:showCatName val="0"/>
          <c:showSerName val="0"/>
          <c:showPercent val="0"/>
          <c:showBubbleSize val="0"/>
        </c:dLbls>
        <c:smooth val="0"/>
        <c:axId val="1669750703"/>
        <c:axId val="1666630991"/>
      </c:lineChart>
      <c:catAx>
        <c:axId val="16697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630991"/>
        <c:crosses val="autoZero"/>
        <c:auto val="1"/>
        <c:lblAlgn val="ctr"/>
        <c:lblOffset val="100"/>
        <c:noMultiLvlLbl val="0"/>
      </c:catAx>
      <c:valAx>
        <c:axId val="1666630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75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[VNM_BCTC_Tom_Tat.xls.xlsx]Xử lí!PivotTable3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Biên lợi nhuận các năm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'Xử lí'!$B$108:$B$109</c:f>
              <c:strCache>
                <c:ptCount val="1"/>
                <c:pt idx="0">
                  <c:v>Tỷ suất lợi nhuận trên vốn chủ sở hữu bình quân (ROEA)</c:v>
                </c:pt>
              </c:strCache>
            </c:strRef>
          </c:tx>
          <c:spPr>
            <a:ln w="28575" cap="rnd">
              <a:solidFill>
                <a:schemeClr val="accent1"/>
              </a:solidFill>
              <a:round/>
            </a:ln>
            <a:effectLst/>
          </c:spPr>
          <c:marker>
            <c:symbol val="none"/>
          </c:marker>
          <c:cat>
            <c:strRef>
              <c:f>'Xử lí'!$A$110:$A$113</c:f>
              <c:strCache>
                <c:ptCount val="4"/>
                <c:pt idx="0">
                  <c:v>2022</c:v>
                </c:pt>
                <c:pt idx="1">
                  <c:v>2023</c:v>
                </c:pt>
                <c:pt idx="2">
                  <c:v>2024</c:v>
                </c:pt>
                <c:pt idx="3">
                  <c:v>2025</c:v>
                </c:pt>
              </c:strCache>
            </c:strRef>
          </c:cat>
          <c:val>
            <c:numRef>
              <c:f>'Xử lí'!$B$110:$B$113</c:f>
              <c:numCache>
                <c:formatCode>General</c:formatCode>
                <c:ptCount val="4"/>
                <c:pt idx="0">
                  <c:v>29.38</c:v>
                </c:pt>
                <c:pt idx="1">
                  <c:v>25.34</c:v>
                </c:pt>
                <c:pt idx="2">
                  <c:v>25.96</c:v>
                </c:pt>
                <c:pt idx="3">
                  <c:v>30.67</c:v>
                </c:pt>
              </c:numCache>
            </c:numRef>
          </c:val>
          <c:smooth val="0"/>
          <c:extLst>
            <c:ext xmlns:c16="http://schemas.microsoft.com/office/drawing/2014/chart" uri="{C3380CC4-5D6E-409C-BE32-E72D297353CC}">
              <c16:uniqueId val="{00000000-51D7-486B-9F83-71E95CB15DF6}"/>
            </c:ext>
          </c:extLst>
        </c:ser>
        <c:ser>
          <c:idx val="1"/>
          <c:order val="1"/>
          <c:tx>
            <c:strRef>
              <c:f>'Xử lí'!$C$108:$C$109</c:f>
              <c:strCache>
                <c:ptCount val="1"/>
                <c:pt idx="0">
                  <c:v>Tỷ suất sinh lợi trên tổng tài sản bình quân (ROAA)</c:v>
                </c:pt>
              </c:strCache>
            </c:strRef>
          </c:tx>
          <c:spPr>
            <a:ln w="28575" cap="rnd">
              <a:solidFill>
                <a:schemeClr val="accent2"/>
              </a:solidFill>
              <a:round/>
            </a:ln>
            <a:effectLst/>
          </c:spPr>
          <c:marker>
            <c:symbol val="none"/>
          </c:marker>
          <c:cat>
            <c:strRef>
              <c:f>'Xử lí'!$A$110:$A$113</c:f>
              <c:strCache>
                <c:ptCount val="4"/>
                <c:pt idx="0">
                  <c:v>2022</c:v>
                </c:pt>
                <c:pt idx="1">
                  <c:v>2023</c:v>
                </c:pt>
                <c:pt idx="2">
                  <c:v>2024</c:v>
                </c:pt>
                <c:pt idx="3">
                  <c:v>2025</c:v>
                </c:pt>
              </c:strCache>
            </c:strRef>
          </c:cat>
          <c:val>
            <c:numRef>
              <c:f>'Xử lí'!$C$110:$C$113</c:f>
              <c:numCache>
                <c:formatCode>General</c:formatCode>
                <c:ptCount val="4"/>
                <c:pt idx="0">
                  <c:v>19.75</c:v>
                </c:pt>
                <c:pt idx="1">
                  <c:v>16.850000000000001</c:v>
                </c:pt>
                <c:pt idx="2">
                  <c:v>17.059999999999999</c:v>
                </c:pt>
                <c:pt idx="3">
                  <c:v>17.649999999999999</c:v>
                </c:pt>
              </c:numCache>
            </c:numRef>
          </c:val>
          <c:smooth val="0"/>
          <c:extLst>
            <c:ext xmlns:c16="http://schemas.microsoft.com/office/drawing/2014/chart" uri="{C3380CC4-5D6E-409C-BE32-E72D297353CC}">
              <c16:uniqueId val="{00000001-51D7-486B-9F83-71E95CB15DF6}"/>
            </c:ext>
          </c:extLst>
        </c:ser>
        <c:dLbls>
          <c:showLegendKey val="0"/>
          <c:showVal val="0"/>
          <c:showCatName val="0"/>
          <c:showSerName val="0"/>
          <c:showPercent val="0"/>
          <c:showBubbleSize val="0"/>
        </c:dLbls>
        <c:smooth val="0"/>
        <c:axId val="419438927"/>
        <c:axId val="652259151"/>
      </c:lineChart>
      <c:catAx>
        <c:axId val="41943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259151"/>
        <c:crosses val="autoZero"/>
        <c:auto val="1"/>
        <c:lblAlgn val="ctr"/>
        <c:lblOffset val="100"/>
        <c:noMultiLvlLbl val="0"/>
      </c:catAx>
      <c:valAx>
        <c:axId val="652259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3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273051</xdr:colOff>
      <xdr:row>13</xdr:row>
      <xdr:rowOff>6259</xdr:rowOff>
    </xdr:from>
    <xdr:to>
      <xdr:col>19</xdr:col>
      <xdr:colOff>127000</xdr:colOff>
      <xdr:row>19</xdr:row>
      <xdr:rowOff>33179</xdr:rowOff>
    </xdr:to>
    <mc:AlternateContent xmlns:mc="http://schemas.openxmlformats.org/markup-compatibility/2006">
      <mc:Choice xmlns:a14="http://schemas.microsoft.com/office/drawing/2010/main" Requires="a14">
        <xdr:graphicFrame macro="">
          <xdr:nvGraphicFramePr>
            <xdr:cNvPr id="6" name="Năm 1">
              <a:extLst>
                <a:ext uri="{FF2B5EF4-FFF2-40B4-BE49-F238E27FC236}">
                  <a16:creationId xmlns:a16="http://schemas.microsoft.com/office/drawing/2014/main" id="{89EC6B1D-4B38-4373-931F-C2D06A1E870E}"/>
                </a:ext>
              </a:extLst>
            </xdr:cNvPr>
            <xdr:cNvGraphicFramePr/>
          </xdr:nvGraphicFramePr>
          <xdr:xfrm>
            <a:off x="0" y="0"/>
            <a:ext cx="0" cy="0"/>
          </xdr:xfrm>
          <a:graphic>
            <a:graphicData uri="http://schemas.microsoft.com/office/drawing/2010/slicer">
              <sle:slicer xmlns:sle="http://schemas.microsoft.com/office/drawing/2010/slicer" name="Năm 1"/>
            </a:graphicData>
          </a:graphic>
        </xdr:graphicFrame>
      </mc:Choice>
      <mc:Fallback>
        <xdr:sp macro="" textlink="">
          <xdr:nvSpPr>
            <xdr:cNvPr id="0" name=""/>
            <xdr:cNvSpPr>
              <a:spLocks noTextEdit="1"/>
            </xdr:cNvSpPr>
          </xdr:nvSpPr>
          <xdr:spPr>
            <a:xfrm>
              <a:off x="10636251" y="2400209"/>
              <a:ext cx="1073149" cy="1131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494145</xdr:colOff>
      <xdr:row>13</xdr:row>
      <xdr:rowOff>16100</xdr:rowOff>
    </xdr:from>
    <xdr:to>
      <xdr:col>17</xdr:col>
      <xdr:colOff>228600</xdr:colOff>
      <xdr:row>19</xdr:row>
      <xdr:rowOff>38100</xdr:rowOff>
    </xdr:to>
    <mc:AlternateContent xmlns:mc="http://schemas.openxmlformats.org/markup-compatibility/2006">
      <mc:Choice xmlns:a14="http://schemas.microsoft.com/office/drawing/2010/main" Requires="a14">
        <xdr:graphicFrame macro="">
          <xdr:nvGraphicFramePr>
            <xdr:cNvPr id="7" name="Nhóm">
              <a:extLst>
                <a:ext uri="{FF2B5EF4-FFF2-40B4-BE49-F238E27FC236}">
                  <a16:creationId xmlns:a16="http://schemas.microsoft.com/office/drawing/2014/main" id="{D6FBA077-160F-402A-A199-A7DA698BC30A}"/>
                </a:ext>
              </a:extLst>
            </xdr:cNvPr>
            <xdr:cNvGraphicFramePr/>
          </xdr:nvGraphicFramePr>
          <xdr:xfrm>
            <a:off x="0" y="0"/>
            <a:ext cx="0" cy="0"/>
          </xdr:xfrm>
          <a:graphic>
            <a:graphicData uri="http://schemas.microsoft.com/office/drawing/2010/slicer">
              <sle:slicer xmlns:sle="http://schemas.microsoft.com/office/drawing/2010/slicer" name="Nhóm"/>
            </a:graphicData>
          </a:graphic>
        </xdr:graphicFrame>
      </mc:Choice>
      <mc:Fallback>
        <xdr:sp macro="" textlink="">
          <xdr:nvSpPr>
            <xdr:cNvPr id="0" name=""/>
            <xdr:cNvSpPr>
              <a:spLocks noTextEdit="1"/>
            </xdr:cNvSpPr>
          </xdr:nvSpPr>
          <xdr:spPr>
            <a:xfrm>
              <a:off x="9638145" y="2410050"/>
              <a:ext cx="953655" cy="112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67241</xdr:colOff>
      <xdr:row>7</xdr:row>
      <xdr:rowOff>136807</xdr:rowOff>
    </xdr:from>
    <xdr:to>
      <xdr:col>9</xdr:col>
      <xdr:colOff>160709</xdr:colOff>
      <xdr:row>19</xdr:row>
      <xdr:rowOff>34819</xdr:rowOff>
    </xdr:to>
    <xdr:graphicFrame macro="">
      <xdr:nvGraphicFramePr>
        <xdr:cNvPr id="2" name="Chart 1">
          <a:extLst>
            <a:ext uri="{FF2B5EF4-FFF2-40B4-BE49-F238E27FC236}">
              <a16:creationId xmlns:a16="http://schemas.microsoft.com/office/drawing/2014/main" id="{A1CFE7C1-D69E-4190-AC8A-9B71058F8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354806</xdr:colOff>
      <xdr:row>4</xdr:row>
      <xdr:rowOff>120663</xdr:rowOff>
    </xdr:from>
    <xdr:to>
      <xdr:col>15</xdr:col>
      <xdr:colOff>393700</xdr:colOff>
      <xdr:row>11</xdr:row>
      <xdr:rowOff>59616</xdr:rowOff>
    </xdr:to>
    <xdr:graphicFrame macro="">
      <xdr:nvGraphicFramePr>
        <xdr:cNvPr id="8" name="Chart 7">
          <a:extLst>
            <a:ext uri="{FF2B5EF4-FFF2-40B4-BE49-F238E27FC236}">
              <a16:creationId xmlns:a16="http://schemas.microsoft.com/office/drawing/2014/main" id="{DAAE182D-338E-48FB-8591-EE6E702D3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69849</xdr:colOff>
      <xdr:row>4</xdr:row>
      <xdr:rowOff>88901</xdr:rowOff>
    </xdr:from>
    <xdr:to>
      <xdr:col>4</xdr:col>
      <xdr:colOff>404172</xdr:colOff>
      <xdr:row>7</xdr:row>
      <xdr:rowOff>77756</xdr:rowOff>
    </xdr:to>
    <xdr:grpSp>
      <xdr:nvGrpSpPr>
        <xdr:cNvPr id="13" name="Group 12">
          <a:extLst>
            <a:ext uri="{FF2B5EF4-FFF2-40B4-BE49-F238E27FC236}">
              <a16:creationId xmlns:a16="http://schemas.microsoft.com/office/drawing/2014/main" id="{D580715D-7717-8681-D9A6-34D9224C602C}"/>
            </a:ext>
          </a:extLst>
        </xdr:cNvPr>
        <xdr:cNvGrpSpPr/>
      </xdr:nvGrpSpPr>
      <xdr:grpSpPr>
        <a:xfrm>
          <a:off x="69849" y="825501"/>
          <a:ext cx="2772723" cy="541305"/>
          <a:chOff x="47553" y="38101"/>
          <a:chExt cx="1555750" cy="800100"/>
        </a:xfrm>
      </xdr:grpSpPr>
      <xdr:sp macro="" textlink="">
        <xdr:nvSpPr>
          <xdr:cNvPr id="10" name="Rectangle: Rounded Corners 9">
            <a:extLst>
              <a:ext uri="{FF2B5EF4-FFF2-40B4-BE49-F238E27FC236}">
                <a16:creationId xmlns:a16="http://schemas.microsoft.com/office/drawing/2014/main" id="{1ABA0121-C936-0E0D-A99D-C36FBCE0CF74}"/>
              </a:ext>
            </a:extLst>
          </xdr:cNvPr>
          <xdr:cNvSpPr/>
        </xdr:nvSpPr>
        <xdr:spPr>
          <a:xfrm>
            <a:off x="47553" y="38101"/>
            <a:ext cx="1555750" cy="800100"/>
          </a:xfrm>
          <a:prstGeom prst="roundRect">
            <a:avLst/>
          </a:prstGeom>
          <a:ln>
            <a:solidFill>
              <a:schemeClr val="accent1">
                <a:lumMod val="75000"/>
              </a:schemeClr>
            </a:solidFill>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vi-VN" sz="900" b="1">
                <a:solidFill>
                  <a:srgbClr val="FF0000"/>
                </a:solidFill>
                <a:latin typeface="+mj-lt"/>
              </a:rPr>
              <a:t>Doanh thu thuần</a:t>
            </a:r>
            <a:endParaRPr lang="en-US" sz="900" b="1">
              <a:solidFill>
                <a:srgbClr val="FF0000"/>
              </a:solidFill>
              <a:latin typeface="+mj-lt"/>
            </a:endParaRPr>
          </a:p>
        </xdr:txBody>
      </xdr:sp>
      <xdr:sp macro="" textlink="'Xử lí'!R4">
        <xdr:nvSpPr>
          <xdr:cNvPr id="11" name="TextBox 10">
            <a:extLst>
              <a:ext uri="{FF2B5EF4-FFF2-40B4-BE49-F238E27FC236}">
                <a16:creationId xmlns:a16="http://schemas.microsoft.com/office/drawing/2014/main" id="{7A857D04-9821-E571-654D-B697D1D2BA19}"/>
              </a:ext>
            </a:extLst>
          </xdr:cNvPr>
          <xdr:cNvSpPr txBox="1"/>
        </xdr:nvSpPr>
        <xdr:spPr>
          <a:xfrm>
            <a:off x="75034" y="314886"/>
            <a:ext cx="1435807" cy="345514"/>
          </a:xfrm>
          <a:prstGeom prst="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ECB690FE-426E-4B49-9604-46409451AD17}" type="TxLink">
              <a:rPr lang="en-US" sz="1800" b="1" i="0" u="none" strike="noStrike">
                <a:solidFill>
                  <a:schemeClr val="accent1">
                    <a:lumMod val="75000"/>
                  </a:schemeClr>
                </a:solidFill>
                <a:latin typeface="Calibri"/>
                <a:ea typeface="Calibri"/>
                <a:cs typeface="Calibri"/>
              </a:rPr>
              <a:pPr algn="ctr"/>
              <a:t>63.645,89 tỷ</a:t>
            </a:fld>
            <a:endParaRPr lang="en-US" sz="3200" b="1">
              <a:solidFill>
                <a:schemeClr val="accent1">
                  <a:lumMod val="75000"/>
                </a:schemeClr>
              </a:solidFill>
              <a:latin typeface="Times New Roman" panose="02020603050405020304" pitchFamily="18" charset="0"/>
              <a:cs typeface="Times New Roman" panose="02020603050405020304" pitchFamily="18" charset="0"/>
            </a:endParaRPr>
          </a:p>
        </xdr:txBody>
      </xdr:sp>
    </xdr:grpSp>
    <xdr:clientData/>
  </xdr:twoCellAnchor>
  <xdr:twoCellAnchor>
    <xdr:from>
      <xdr:col>4</xdr:col>
      <xdr:colOff>531509</xdr:colOff>
      <xdr:row>4</xdr:row>
      <xdr:rowOff>88900</xdr:rowOff>
    </xdr:from>
    <xdr:to>
      <xdr:col>9</xdr:col>
      <xdr:colOff>178782</xdr:colOff>
      <xdr:row>7</xdr:row>
      <xdr:rowOff>67914</xdr:rowOff>
    </xdr:to>
    <xdr:grpSp>
      <xdr:nvGrpSpPr>
        <xdr:cNvPr id="12" name="Group 11">
          <a:extLst>
            <a:ext uri="{FF2B5EF4-FFF2-40B4-BE49-F238E27FC236}">
              <a16:creationId xmlns:a16="http://schemas.microsoft.com/office/drawing/2014/main" id="{4E1ACFCB-C3E6-52A4-7A42-8D513F4B273B}"/>
            </a:ext>
          </a:extLst>
        </xdr:cNvPr>
        <xdr:cNvGrpSpPr/>
      </xdr:nvGrpSpPr>
      <xdr:grpSpPr>
        <a:xfrm>
          <a:off x="2969909" y="825500"/>
          <a:ext cx="2695273" cy="531464"/>
          <a:chOff x="1695450" y="44450"/>
          <a:chExt cx="1555750" cy="800100"/>
        </a:xfrm>
      </xdr:grpSpPr>
      <xdr:sp macro="" textlink="">
        <xdr:nvSpPr>
          <xdr:cNvPr id="3" name="Rectangle: Rounded Corners 2">
            <a:extLst>
              <a:ext uri="{FF2B5EF4-FFF2-40B4-BE49-F238E27FC236}">
                <a16:creationId xmlns:a16="http://schemas.microsoft.com/office/drawing/2014/main" id="{A1F34704-2480-4A37-A16E-D34E173091B7}"/>
              </a:ext>
            </a:extLst>
          </xdr:cNvPr>
          <xdr:cNvSpPr/>
        </xdr:nvSpPr>
        <xdr:spPr>
          <a:xfrm>
            <a:off x="1695450" y="44450"/>
            <a:ext cx="1555750" cy="800100"/>
          </a:xfrm>
          <a:prstGeom prst="roundRect">
            <a:avLst/>
          </a:prstGeom>
          <a:ln>
            <a:solidFill>
              <a:schemeClr val="accent1">
                <a:lumMod val="75000"/>
              </a:schemeClr>
            </a:solidFill>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vi-VN" sz="900" b="1">
                <a:solidFill>
                  <a:srgbClr val="FF0000"/>
                </a:solidFill>
                <a:latin typeface="+mj-lt"/>
              </a:rPr>
              <a:t>Lợi nhuân</a:t>
            </a:r>
            <a:endParaRPr lang="en-US" sz="900" b="1">
              <a:solidFill>
                <a:srgbClr val="FF0000"/>
              </a:solidFill>
              <a:latin typeface="+mj-lt"/>
            </a:endParaRPr>
          </a:p>
        </xdr:txBody>
      </xdr:sp>
      <xdr:sp macro="" textlink="'Xử lí'!R5">
        <xdr:nvSpPr>
          <xdr:cNvPr id="4" name="TextBox 3">
            <a:extLst>
              <a:ext uri="{FF2B5EF4-FFF2-40B4-BE49-F238E27FC236}">
                <a16:creationId xmlns:a16="http://schemas.microsoft.com/office/drawing/2014/main" id="{9360312F-CCA9-4C6F-9AB4-4CF91E31D724}"/>
              </a:ext>
            </a:extLst>
          </xdr:cNvPr>
          <xdr:cNvSpPr txBox="1"/>
        </xdr:nvSpPr>
        <xdr:spPr>
          <a:xfrm>
            <a:off x="1755191" y="331259"/>
            <a:ext cx="1435807" cy="345514"/>
          </a:xfrm>
          <a:prstGeom prst="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A7D05A04-E1E4-4DFC-BF27-1EA15CFC4BF7}" type="TxLink">
              <a:rPr lang="en-US" sz="1800" b="1" i="0" u="none" strike="noStrike">
                <a:solidFill>
                  <a:schemeClr val="accent1">
                    <a:lumMod val="75000"/>
                  </a:schemeClr>
                </a:solidFill>
                <a:latin typeface="Calibri"/>
                <a:ea typeface="Calibri"/>
                <a:cs typeface="Calibri"/>
              </a:rPr>
              <a:pPr algn="ctr"/>
              <a:t>9.413,59 tỷ</a:t>
            </a:fld>
            <a:endParaRPr lang="en-US" sz="1800" b="1">
              <a:solidFill>
                <a:schemeClr val="accent1">
                  <a:lumMod val="75000"/>
                </a:schemeClr>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82550</xdr:colOff>
      <xdr:row>0</xdr:row>
      <xdr:rowOff>44450</xdr:rowOff>
    </xdr:from>
    <xdr:to>
      <xdr:col>15</xdr:col>
      <xdr:colOff>419100</xdr:colOff>
      <xdr:row>4</xdr:row>
      <xdr:rowOff>6350</xdr:rowOff>
    </xdr:to>
    <xdr:sp macro="" textlink="">
      <xdr:nvSpPr>
        <xdr:cNvPr id="15" name="Rectangle: Rounded Corners 14">
          <a:extLst>
            <a:ext uri="{FF2B5EF4-FFF2-40B4-BE49-F238E27FC236}">
              <a16:creationId xmlns:a16="http://schemas.microsoft.com/office/drawing/2014/main" id="{F7000BAF-186C-5769-D754-93F533CCB2BF}"/>
            </a:ext>
          </a:extLst>
        </xdr:cNvPr>
        <xdr:cNvSpPr/>
      </xdr:nvSpPr>
      <xdr:spPr>
        <a:xfrm>
          <a:off x="82550" y="44450"/>
          <a:ext cx="9480550" cy="698500"/>
        </a:xfrm>
        <a:prstGeom prst="roundRect">
          <a:avLst/>
        </a:prstGeom>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600" b="1">
              <a:solidFill>
                <a:schemeClr val="accent1">
                  <a:lumMod val="75000"/>
                </a:schemeClr>
              </a:solidFill>
            </a:rPr>
            <a:t>VINAMILK FINANCIAL DASHBOARD 2022–2025</a:t>
          </a:r>
        </a:p>
      </xdr:txBody>
    </xdr:sp>
    <xdr:clientData/>
  </xdr:twoCellAnchor>
  <xdr:twoCellAnchor editAs="oneCell">
    <xdr:from>
      <xdr:col>15</xdr:col>
      <xdr:colOff>488950</xdr:colOff>
      <xdr:row>4</xdr:row>
      <xdr:rowOff>120649</xdr:rowOff>
    </xdr:from>
    <xdr:to>
      <xdr:col>19</xdr:col>
      <xdr:colOff>114300</xdr:colOff>
      <xdr:row>12</xdr:row>
      <xdr:rowOff>139700</xdr:rowOff>
    </xdr:to>
    <mc:AlternateContent xmlns:mc="http://schemas.openxmlformats.org/markup-compatibility/2006">
      <mc:Choice xmlns:a14="http://schemas.microsoft.com/office/drawing/2010/main" Requires="a14">
        <xdr:graphicFrame macro="">
          <xdr:nvGraphicFramePr>
            <xdr:cNvPr id="18" name="Chỉ tiêu">
              <a:extLst>
                <a:ext uri="{FF2B5EF4-FFF2-40B4-BE49-F238E27FC236}">
                  <a16:creationId xmlns:a16="http://schemas.microsoft.com/office/drawing/2014/main" id="{F83771A3-481B-45BE-6EE7-9A3892745CB3}"/>
                </a:ext>
              </a:extLst>
            </xdr:cNvPr>
            <xdr:cNvGraphicFramePr/>
          </xdr:nvGraphicFramePr>
          <xdr:xfrm>
            <a:off x="0" y="0"/>
            <a:ext cx="0" cy="0"/>
          </xdr:xfrm>
          <a:graphic>
            <a:graphicData uri="http://schemas.microsoft.com/office/drawing/2010/slicer">
              <sle:slicer xmlns:sle="http://schemas.microsoft.com/office/drawing/2010/slicer" name="Chỉ tiêu"/>
            </a:graphicData>
          </a:graphic>
        </xdr:graphicFrame>
      </mc:Choice>
      <mc:Fallback>
        <xdr:sp macro="" textlink="">
          <xdr:nvSpPr>
            <xdr:cNvPr id="0" name=""/>
            <xdr:cNvSpPr>
              <a:spLocks noTextEdit="1"/>
            </xdr:cNvSpPr>
          </xdr:nvSpPr>
          <xdr:spPr>
            <a:xfrm>
              <a:off x="9632950" y="857249"/>
              <a:ext cx="2063750" cy="1492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355600</xdr:colOff>
      <xdr:row>12</xdr:row>
      <xdr:rowOff>0</xdr:rowOff>
    </xdr:from>
    <xdr:to>
      <xdr:col>15</xdr:col>
      <xdr:colOff>355600</xdr:colOff>
      <xdr:row>19</xdr:row>
      <xdr:rowOff>19050</xdr:rowOff>
    </xdr:to>
    <xdr:graphicFrame macro="">
      <xdr:nvGraphicFramePr>
        <xdr:cNvPr id="20" name="Chart 19">
          <a:extLst>
            <a:ext uri="{FF2B5EF4-FFF2-40B4-BE49-F238E27FC236}">
              <a16:creationId xmlns:a16="http://schemas.microsoft.com/office/drawing/2014/main" id="{1F3E7CC2-558D-4A53-BCF2-DE3C475A2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ạ Vân Anh " refreshedDate="46281.969526504632" createdVersion="8" refreshedVersion="8" minRefreshableVersion="3" recordCount="192" xr:uid="{CBB47B12-9875-469C-984A-D9676F85D92F}">
  <cacheSource type="worksheet">
    <worksheetSource name="Table1_1"/>
  </cacheSource>
  <cacheFields count="4">
    <cacheField name="Chỉ tiêu" numFmtId="0">
      <sharedItems count="48">
        <s v="Doanh thu thuần về bán hàng và cung cấp dịch vụ"/>
        <s v="Giá vốn hàng bán"/>
        <s v="Lợi nhuận gộp về bán hàng và cung cấp dịch vụ"/>
        <s v="Doanh thu hoạt động tài chính"/>
        <s v="Chi phí tài chính"/>
        <s v="Chi phí bán hàng"/>
        <s v="Chi phí quản lý doanh nghiệp"/>
        <s v="Lợi nhuận thuần từ hoạt động kinh doanh"/>
        <s v="Lợi nhuận khác"/>
        <s v="Phần lợi nhuận/lỗ từ công ty liên kết liên doanh"/>
        <s v="Tổng lợi nhuận kế toán trước thuế"/>
        <s v="Lợi nhuận sau thuế thu nhập doanh nghiệp"/>
        <s v="Lợi nhuận sau thuế của cổ đông Công ty mẹ"/>
        <s v="Lãi cơ bản trên cổ phiếu (VNÐ)"/>
        <s v="Cân đối kế toán"/>
        <s v="Tài sản ngắn hạn"/>
        <s v="Tiền và các khoản tương đương tiền"/>
        <s v="Các khoản đầu tư tài chính ngắn hạn"/>
        <s v="Các khoản phải thu ngắn hạn"/>
        <s v="Hàng tồn kho"/>
        <s v="Tài sản ngắn hạn khác"/>
        <s v="Tài sản dài hạn"/>
        <s v="Tài sản cố định"/>
        <s v="Bất động sản đầu tư"/>
        <s v="Các khoản đầu tư tài chính dài hạn"/>
        <s v="Tổng cộng tài sản"/>
        <s v="Nợ phải trả"/>
        <s v="Nợ ngắn hạn"/>
        <s v="Nợ dài hạn"/>
        <s v="Vốn chủ sở hữu"/>
        <s v="Vốn đầu tư của chủ sở hữu"/>
        <s v="Thặng dư vốn cổ phần"/>
        <s v="Lợi nhuận sau thuế chưa phân phối"/>
        <s v="Lợi ích của cổ đông thiểu số"/>
        <s v="Tổng cộng nguồn vốn"/>
        <s v="Chỉ số tài chính"/>
        <s v="Thu nhập trên mỗi cổ phần của 4 quý gần nhất (EPS)"/>
        <s v="Giá trị sổ sách của cổ phiếu (BVPS)"/>
        <s v="Chỉ số giá thị trường trên thu nhập (P/E)"/>
        <s v="Chỉ số giá thị trường trên giá trị sổ sách (P/B)"/>
        <s v="Tỷ suất lợi nhuận gộp biên"/>
        <s v="Tỷ suất sinh lợi trên doanh thu thuần"/>
        <s v="Tỷ suất lợi nhuận trên vốn chủ sở hữu bình quân (ROEA)"/>
        <s v="Tỷ suất sinh lợi trên tổng tài sản bình quân (ROAA)"/>
        <s v="Tỷ số thanh toán hiện hành (ngắn hạn)"/>
        <s v="Khả năng thanh toán lãi vay"/>
        <s v="Tỷ số Nợ trên Tổng tài sản"/>
        <s v="Tỷ số Nợ vay trên Vốn chủ sở hữu"/>
      </sharedItems>
    </cacheField>
    <cacheField name="Năm" numFmtId="0">
      <sharedItems containsMixedTypes="1" containsNumber="1" containsInteger="1" minValue="2022" maxValue="2025" count="8">
        <n v="2022"/>
        <n v="2023"/>
        <n v="2024"/>
        <n v="2025"/>
        <s v="2022 Đã kiểm toán" u="1"/>
        <s v="2023 Đã kiểm toán" u="1"/>
        <s v="2024 Đã kiểm toán" u="1"/>
        <s v="2025 Đã kiểm toán" u="1"/>
      </sharedItems>
    </cacheField>
    <cacheField name="Giá trị" numFmtId="0">
      <sharedItems containsString="0" containsBlank="1" containsNumber="1" minValue="-150.56" maxValue="63645.89"/>
    </cacheField>
    <cacheField name="Nhóm" numFmtId="0">
      <sharedItems count="3">
        <s v="KQKD"/>
        <s v="CĐKT"/>
        <s v="Chỉ số"/>
      </sharedItems>
    </cacheField>
  </cacheFields>
  <extLst>
    <ext xmlns:x14="http://schemas.microsoft.com/office/spreadsheetml/2009/9/main" uri="{725AE2AE-9491-48be-B2B4-4EB974FC3084}">
      <x14:pivotCacheDefinition pivotCacheId="1206088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n v="59956.25"/>
    <x v="0"/>
  </r>
  <r>
    <x v="0"/>
    <x v="1"/>
    <n v="60368.92"/>
    <x v="0"/>
  </r>
  <r>
    <x v="0"/>
    <x v="2"/>
    <n v="61782.61"/>
    <x v="0"/>
  </r>
  <r>
    <x v="0"/>
    <x v="3"/>
    <n v="63645.89"/>
    <x v="0"/>
  </r>
  <r>
    <x v="1"/>
    <x v="0"/>
    <n v="36059.019999999997"/>
    <x v="0"/>
  </r>
  <r>
    <x v="1"/>
    <x v="1"/>
    <n v="35824.18"/>
    <x v="0"/>
  </r>
  <r>
    <x v="1"/>
    <x v="2"/>
    <n v="36192.43"/>
    <x v="0"/>
  </r>
  <r>
    <x v="1"/>
    <x v="3"/>
    <n v="37436.410000000003"/>
    <x v="0"/>
  </r>
  <r>
    <x v="2"/>
    <x v="0"/>
    <n v="23897.23"/>
    <x v="0"/>
  </r>
  <r>
    <x v="2"/>
    <x v="1"/>
    <n v="24544.73"/>
    <x v="0"/>
  </r>
  <r>
    <x v="2"/>
    <x v="2"/>
    <n v="25590.18"/>
    <x v="0"/>
  </r>
  <r>
    <x v="2"/>
    <x v="3"/>
    <n v="26209.47"/>
    <x v="0"/>
  </r>
  <r>
    <x v="3"/>
    <x v="0"/>
    <n v="1379.9"/>
    <x v="0"/>
  </r>
  <r>
    <x v="3"/>
    <x v="1"/>
    <n v="1716.37"/>
    <x v="0"/>
  </r>
  <r>
    <x v="3"/>
    <x v="2"/>
    <n v="1585.66"/>
    <x v="0"/>
  </r>
  <r>
    <x v="3"/>
    <x v="3"/>
    <n v="1496.85"/>
    <x v="0"/>
  </r>
  <r>
    <x v="4"/>
    <x v="0"/>
    <n v="617.54"/>
    <x v="0"/>
  </r>
  <r>
    <x v="4"/>
    <x v="1"/>
    <n v="503.12"/>
    <x v="0"/>
  </r>
  <r>
    <x v="4"/>
    <x v="2"/>
    <n v="428.24"/>
    <x v="0"/>
  </r>
  <r>
    <x v="4"/>
    <x v="3"/>
    <n v="350.23"/>
    <x v="0"/>
  </r>
  <r>
    <x v="5"/>
    <x v="0"/>
    <n v="12548.21"/>
    <x v="0"/>
  </r>
  <r>
    <x v="5"/>
    <x v="1"/>
    <n v="13018.09"/>
    <x v="0"/>
  </r>
  <r>
    <x v="5"/>
    <x v="2"/>
    <n v="13357.71"/>
    <x v="0"/>
  </r>
  <r>
    <x v="5"/>
    <x v="3"/>
    <n v="13641.69"/>
    <x v="0"/>
  </r>
  <r>
    <x v="6"/>
    <x v="0"/>
    <n v="1595.85"/>
    <x v="0"/>
  </r>
  <r>
    <x v="6"/>
    <x v="1"/>
    <n v="1755.62"/>
    <x v="0"/>
  </r>
  <r>
    <x v="6"/>
    <x v="2"/>
    <n v="1827.92"/>
    <x v="0"/>
  </r>
  <r>
    <x v="6"/>
    <x v="3"/>
    <n v="1904.07"/>
    <x v="0"/>
  </r>
  <r>
    <x v="7"/>
    <x v="0"/>
    <n v="10491.06"/>
    <x v="0"/>
  </r>
  <r>
    <x v="7"/>
    <x v="1"/>
    <n v="10903.63"/>
    <x v="0"/>
  </r>
  <r>
    <x v="7"/>
    <x v="2"/>
    <n v="11593.98"/>
    <x v="0"/>
  </r>
  <r>
    <x v="7"/>
    <x v="3"/>
    <n v="11659.77"/>
    <x v="0"/>
  </r>
  <r>
    <x v="8"/>
    <x v="0"/>
    <n v="4.47"/>
    <x v="0"/>
  </r>
  <r>
    <x v="8"/>
    <x v="1"/>
    <n v="64.27"/>
    <x v="0"/>
  </r>
  <r>
    <x v="8"/>
    <x v="2"/>
    <n v="5.68"/>
    <x v="0"/>
  </r>
  <r>
    <x v="8"/>
    <x v="3"/>
    <n v="-9.7899999999999991"/>
    <x v="0"/>
  </r>
  <r>
    <x v="9"/>
    <x v="0"/>
    <n v="-24.48"/>
    <x v="0"/>
  </r>
  <r>
    <x v="9"/>
    <x v="1"/>
    <n v="-80.63"/>
    <x v="0"/>
  </r>
  <r>
    <x v="9"/>
    <x v="2"/>
    <n v="32"/>
    <x v="0"/>
  </r>
  <r>
    <x v="9"/>
    <x v="3"/>
    <n v="-150.56"/>
    <x v="0"/>
  </r>
  <r>
    <x v="10"/>
    <x v="0"/>
    <n v="10495.53"/>
    <x v="0"/>
  </r>
  <r>
    <x v="10"/>
    <x v="1"/>
    <n v="10967.9"/>
    <x v="0"/>
  </r>
  <r>
    <x v="10"/>
    <x v="2"/>
    <n v="11599.65"/>
    <x v="0"/>
  </r>
  <r>
    <x v="10"/>
    <x v="3"/>
    <n v="11649.99"/>
    <x v="0"/>
  </r>
  <r>
    <x v="11"/>
    <x v="0"/>
    <n v="8577.58"/>
    <x v="0"/>
  </r>
  <r>
    <x v="11"/>
    <x v="1"/>
    <n v="9019.35"/>
    <x v="0"/>
  </r>
  <r>
    <x v="11"/>
    <x v="2"/>
    <n v="9452.89"/>
    <x v="0"/>
  </r>
  <r>
    <x v="11"/>
    <x v="3"/>
    <n v="9413.59"/>
    <x v="0"/>
  </r>
  <r>
    <x v="12"/>
    <x v="0"/>
    <n v="8516.02"/>
    <x v="0"/>
  </r>
  <r>
    <x v="12"/>
    <x v="1"/>
    <n v="8873.81"/>
    <x v="0"/>
  </r>
  <r>
    <x v="12"/>
    <x v="2"/>
    <n v="9392.31"/>
    <x v="0"/>
  </r>
  <r>
    <x v="12"/>
    <x v="3"/>
    <n v="9410.2000000000007"/>
    <x v="0"/>
  </r>
  <r>
    <x v="13"/>
    <x v="0"/>
    <n v="3632"/>
    <x v="0"/>
  </r>
  <r>
    <x v="13"/>
    <x v="1"/>
    <n v="3796"/>
    <x v="0"/>
  </r>
  <r>
    <x v="13"/>
    <x v="2"/>
    <n v="4022"/>
    <x v="0"/>
  </r>
  <r>
    <x v="13"/>
    <x v="3"/>
    <n v="4028"/>
    <x v="0"/>
  </r>
  <r>
    <x v="14"/>
    <x v="0"/>
    <m/>
    <x v="0"/>
  </r>
  <r>
    <x v="14"/>
    <x v="1"/>
    <m/>
    <x v="0"/>
  </r>
  <r>
    <x v="14"/>
    <x v="2"/>
    <m/>
    <x v="0"/>
  </r>
  <r>
    <x v="14"/>
    <x v="3"/>
    <m/>
    <x v="0"/>
  </r>
  <r>
    <x v="15"/>
    <x v="0"/>
    <n v="31560.38"/>
    <x v="1"/>
  </r>
  <r>
    <x v="15"/>
    <x v="1"/>
    <n v="35935.879999999997"/>
    <x v="1"/>
  </r>
  <r>
    <x v="15"/>
    <x v="2"/>
    <n v="37553.65"/>
    <x v="1"/>
  </r>
  <r>
    <x v="15"/>
    <x v="3"/>
    <n v="36261.18"/>
    <x v="1"/>
  </r>
  <r>
    <x v="16"/>
    <x v="0"/>
    <n v="2299.94"/>
    <x v="1"/>
  </r>
  <r>
    <x v="16"/>
    <x v="1"/>
    <n v="2912.03"/>
    <x v="1"/>
  </r>
  <r>
    <x v="16"/>
    <x v="2"/>
    <n v="2225.94"/>
    <x v="1"/>
  </r>
  <r>
    <x v="16"/>
    <x v="3"/>
    <n v="1794.88"/>
    <x v="1"/>
  </r>
  <r>
    <x v="17"/>
    <x v="0"/>
    <n v="17414.060000000001"/>
    <x v="1"/>
  </r>
  <r>
    <x v="17"/>
    <x v="1"/>
    <n v="20137.240000000002"/>
    <x v="1"/>
  </r>
  <r>
    <x v="17"/>
    <x v="2"/>
    <n v="23260.09"/>
    <x v="1"/>
  </r>
  <r>
    <x v="17"/>
    <x v="3"/>
    <n v="21354.86"/>
    <x v="1"/>
  </r>
  <r>
    <x v="18"/>
    <x v="0"/>
    <n v="6100.4"/>
    <x v="1"/>
  </r>
  <r>
    <x v="18"/>
    <x v="1"/>
    <n v="6529.71"/>
    <x v="1"/>
  </r>
  <r>
    <x v="18"/>
    <x v="2"/>
    <n v="6233.76"/>
    <x v="1"/>
  </r>
  <r>
    <x v="18"/>
    <x v="3"/>
    <n v="6027.72"/>
    <x v="1"/>
  </r>
  <r>
    <x v="19"/>
    <x v="0"/>
    <n v="5537.56"/>
    <x v="1"/>
  </r>
  <r>
    <x v="19"/>
    <x v="1"/>
    <n v="6128.08"/>
    <x v="1"/>
  </r>
  <r>
    <x v="19"/>
    <x v="2"/>
    <n v="5686.84"/>
    <x v="1"/>
  </r>
  <r>
    <x v="19"/>
    <x v="3"/>
    <n v="6839.28"/>
    <x v="1"/>
  </r>
  <r>
    <x v="20"/>
    <x v="0"/>
    <n v="208.42"/>
    <x v="1"/>
  </r>
  <r>
    <x v="20"/>
    <x v="1"/>
    <n v="228.82"/>
    <x v="1"/>
  </r>
  <r>
    <x v="20"/>
    <x v="2"/>
    <n v="147.02000000000001"/>
    <x v="1"/>
  </r>
  <r>
    <x v="20"/>
    <x v="3"/>
    <n v="244.44"/>
    <x v="1"/>
  </r>
  <r>
    <x v="21"/>
    <x v="0"/>
    <n v="16922.28"/>
    <x v="1"/>
  </r>
  <r>
    <x v="21"/>
    <x v="1"/>
    <n v="16737.490000000002"/>
    <x v="1"/>
  </r>
  <r>
    <x v="21"/>
    <x v="2"/>
    <n v="17495.41"/>
    <x v="1"/>
  </r>
  <r>
    <x v="21"/>
    <x v="3"/>
    <n v="17051.16"/>
    <x v="1"/>
  </r>
  <r>
    <x v="22"/>
    <x v="0"/>
    <n v="11903.21"/>
    <x v="1"/>
  </r>
  <r>
    <x v="22"/>
    <x v="1"/>
    <n v="12689.65"/>
    <x v="1"/>
  </r>
  <r>
    <x v="22"/>
    <x v="2"/>
    <n v="12550.56"/>
    <x v="1"/>
  </r>
  <r>
    <x v="22"/>
    <x v="3"/>
    <n v="12648.92"/>
    <x v="1"/>
  </r>
  <r>
    <x v="23"/>
    <x v="0"/>
    <n v="57.59"/>
    <x v="1"/>
  </r>
  <r>
    <x v="23"/>
    <x v="1"/>
    <n v="55.59"/>
    <x v="1"/>
  </r>
  <r>
    <x v="23"/>
    <x v="2"/>
    <n v="53.62"/>
    <x v="1"/>
  </r>
  <r>
    <x v="23"/>
    <x v="3"/>
    <n v="51.75"/>
    <x v="1"/>
  </r>
  <r>
    <x v="24"/>
    <x v="0"/>
    <n v="742.67"/>
    <x v="1"/>
  </r>
  <r>
    <x v="24"/>
    <x v="1"/>
    <n v="831.23"/>
    <x v="1"/>
  </r>
  <r>
    <x v="24"/>
    <x v="2"/>
    <n v="1373.19"/>
    <x v="1"/>
  </r>
  <r>
    <x v="24"/>
    <x v="3"/>
    <n v="957.07"/>
    <x v="1"/>
  </r>
  <r>
    <x v="25"/>
    <x v="0"/>
    <n v="48482.66"/>
    <x v="0"/>
  </r>
  <r>
    <x v="25"/>
    <x v="1"/>
    <n v="52673.37"/>
    <x v="0"/>
  </r>
  <r>
    <x v="25"/>
    <x v="2"/>
    <n v="55049.06"/>
    <x v="0"/>
  </r>
  <r>
    <x v="25"/>
    <x v="3"/>
    <n v="53312.34"/>
    <x v="0"/>
  </r>
  <r>
    <x v="26"/>
    <x v="0"/>
    <n v="15666.15"/>
    <x v="1"/>
  </r>
  <r>
    <x v="26"/>
    <x v="1"/>
    <n v="17647.63"/>
    <x v="1"/>
  </r>
  <r>
    <x v="26"/>
    <x v="2"/>
    <n v="18874.66"/>
    <x v="1"/>
  </r>
  <r>
    <x v="26"/>
    <x v="3"/>
    <n v="18829.36"/>
    <x v="1"/>
  </r>
  <r>
    <x v="27"/>
    <x v="0"/>
    <n v="15308.42"/>
    <x v="1"/>
  </r>
  <r>
    <x v="27"/>
    <x v="1"/>
    <n v="17138.689999999999"/>
    <x v="1"/>
  </r>
  <r>
    <x v="27"/>
    <x v="2"/>
    <n v="18459.55"/>
    <x v="1"/>
  </r>
  <r>
    <x v="27"/>
    <x v="3"/>
    <n v="18520.29"/>
    <x v="1"/>
  </r>
  <r>
    <x v="28"/>
    <x v="0"/>
    <n v="357.72"/>
    <x v="1"/>
  </r>
  <r>
    <x v="28"/>
    <x v="1"/>
    <n v="508.94"/>
    <x v="1"/>
  </r>
  <r>
    <x v="28"/>
    <x v="2"/>
    <n v="415.11"/>
    <x v="1"/>
  </r>
  <r>
    <x v="28"/>
    <x v="3"/>
    <n v="309.07"/>
    <x v="1"/>
  </r>
  <r>
    <x v="29"/>
    <x v="0"/>
    <n v="32816.519999999997"/>
    <x v="1"/>
  </r>
  <r>
    <x v="29"/>
    <x v="1"/>
    <n v="35025.74"/>
    <x v="1"/>
  </r>
  <r>
    <x v="29"/>
    <x v="2"/>
    <n v="36174.400000000001"/>
    <x v="1"/>
  </r>
  <r>
    <x v="29"/>
    <x v="3"/>
    <n v="30685.38"/>
    <x v="1"/>
  </r>
  <r>
    <x v="30"/>
    <x v="0"/>
    <n v="20899.55"/>
    <x v="1"/>
  </r>
  <r>
    <x v="30"/>
    <x v="1"/>
    <n v="20899.55"/>
    <x v="1"/>
  </r>
  <r>
    <x v="30"/>
    <x v="2"/>
    <n v="20899.55"/>
    <x v="1"/>
  </r>
  <r>
    <x v="30"/>
    <x v="3"/>
    <n v="20899.55"/>
    <x v="1"/>
  </r>
  <r>
    <x v="31"/>
    <x v="0"/>
    <n v="34.11"/>
    <x v="0"/>
  </r>
  <r>
    <x v="31"/>
    <x v="1"/>
    <n v="34.11"/>
    <x v="0"/>
  </r>
  <r>
    <x v="31"/>
    <x v="2"/>
    <n v="34.11"/>
    <x v="0"/>
  </r>
  <r>
    <x v="31"/>
    <x v="3"/>
    <n v="34.11"/>
    <x v="0"/>
  </r>
  <r>
    <x v="32"/>
    <x v="0"/>
    <n v="3353.47"/>
    <x v="1"/>
  </r>
  <r>
    <x v="32"/>
    <x v="1"/>
    <n v="3926.23"/>
    <x v="1"/>
  </r>
  <r>
    <x v="32"/>
    <x v="2"/>
    <n v="3471.22"/>
    <x v="1"/>
  </r>
  <r>
    <x v="32"/>
    <x v="3"/>
    <m/>
    <x v="1"/>
  </r>
  <r>
    <x v="33"/>
    <x v="0"/>
    <n v="2967.47"/>
    <x v="1"/>
  </r>
  <r>
    <x v="33"/>
    <x v="1"/>
    <n v="3328.93"/>
    <x v="1"/>
  </r>
  <r>
    <x v="33"/>
    <x v="2"/>
    <n v="3895.58"/>
    <x v="1"/>
  </r>
  <r>
    <x v="33"/>
    <x v="3"/>
    <m/>
    <x v="1"/>
  </r>
  <r>
    <x v="34"/>
    <x v="0"/>
    <n v="48482.66"/>
    <x v="0"/>
  </r>
  <r>
    <x v="34"/>
    <x v="1"/>
    <n v="52673.37"/>
    <x v="0"/>
  </r>
  <r>
    <x v="34"/>
    <x v="2"/>
    <n v="55049.06"/>
    <x v="0"/>
  </r>
  <r>
    <x v="34"/>
    <x v="3"/>
    <n v="49514.74"/>
    <x v="0"/>
  </r>
  <r>
    <x v="35"/>
    <x v="0"/>
    <n v="2021"/>
    <x v="0"/>
  </r>
  <r>
    <x v="35"/>
    <x v="1"/>
    <n v="2023"/>
    <x v="0"/>
  </r>
  <r>
    <x v="35"/>
    <x v="2"/>
    <n v="2024"/>
    <x v="0"/>
  </r>
  <r>
    <x v="35"/>
    <x v="3"/>
    <n v="2025"/>
    <x v="0"/>
  </r>
  <r>
    <x v="36"/>
    <x v="0"/>
    <n v="4.5199999999999996"/>
    <x v="0"/>
  </r>
  <r>
    <x v="36"/>
    <x v="1"/>
    <n v="3.8"/>
    <x v="0"/>
  </r>
  <r>
    <x v="36"/>
    <x v="2"/>
    <n v="4.0199999999999996"/>
    <x v="0"/>
  </r>
  <r>
    <x v="36"/>
    <x v="3"/>
    <n v="4.03"/>
    <x v="0"/>
  </r>
  <r>
    <x v="37"/>
    <x v="0"/>
    <n v="17.149999999999999"/>
    <x v="0"/>
  </r>
  <r>
    <x v="37"/>
    <x v="1"/>
    <n v="15.17"/>
    <x v="0"/>
  </r>
  <r>
    <x v="37"/>
    <x v="2"/>
    <n v="15.44"/>
    <x v="0"/>
  </r>
  <r>
    <x v="37"/>
    <x v="3"/>
    <n v="14.68"/>
    <x v="0"/>
  </r>
  <r>
    <x v="38"/>
    <x v="0"/>
    <n v="19.12"/>
    <x v="2"/>
  </r>
  <r>
    <x v="38"/>
    <x v="1"/>
    <n v="17.89"/>
    <x v="2"/>
  </r>
  <r>
    <x v="38"/>
    <x v="2"/>
    <n v="15.67"/>
    <x v="2"/>
  </r>
  <r>
    <x v="38"/>
    <x v="3"/>
    <n v="15.14"/>
    <x v="2"/>
  </r>
  <r>
    <x v="39"/>
    <x v="0"/>
    <m/>
    <x v="2"/>
  </r>
  <r>
    <x v="39"/>
    <x v="1"/>
    <m/>
    <x v="2"/>
  </r>
  <r>
    <x v="39"/>
    <x v="2"/>
    <m/>
    <x v="2"/>
  </r>
  <r>
    <x v="39"/>
    <x v="3"/>
    <m/>
    <x v="2"/>
  </r>
  <r>
    <x v="40"/>
    <x v="0"/>
    <n v="43.14"/>
    <x v="2"/>
  </r>
  <r>
    <x v="40"/>
    <x v="1"/>
    <n v="40.58"/>
    <x v="2"/>
  </r>
  <r>
    <x v="40"/>
    <x v="2"/>
    <n v="41.39"/>
    <x v="2"/>
  </r>
  <r>
    <x v="40"/>
    <x v="3"/>
    <m/>
    <x v="2"/>
  </r>
  <r>
    <x v="41"/>
    <x v="0"/>
    <n v="43.14"/>
    <x v="2"/>
  </r>
  <r>
    <x v="41"/>
    <x v="1"/>
    <n v="14.67"/>
    <x v="2"/>
  </r>
  <r>
    <x v="41"/>
    <x v="2"/>
    <n v="15.19"/>
    <x v="2"/>
  </r>
  <r>
    <x v="41"/>
    <x v="3"/>
    <m/>
    <x v="2"/>
  </r>
  <r>
    <x v="42"/>
    <x v="0"/>
    <n v="29.38"/>
    <x v="2"/>
  </r>
  <r>
    <x v="42"/>
    <x v="1"/>
    <n v="25.34"/>
    <x v="2"/>
  </r>
  <r>
    <x v="42"/>
    <x v="2"/>
    <n v="25.96"/>
    <x v="2"/>
  </r>
  <r>
    <x v="42"/>
    <x v="3"/>
    <n v="30.67"/>
    <x v="2"/>
  </r>
  <r>
    <x v="43"/>
    <x v="0"/>
    <n v="19.75"/>
    <x v="2"/>
  </r>
  <r>
    <x v="43"/>
    <x v="1"/>
    <n v="16.850000000000001"/>
    <x v="2"/>
  </r>
  <r>
    <x v="43"/>
    <x v="2"/>
    <n v="17.059999999999999"/>
    <x v="2"/>
  </r>
  <r>
    <x v="43"/>
    <x v="3"/>
    <n v="17.649999999999999"/>
    <x v="2"/>
  </r>
  <r>
    <x v="44"/>
    <x v="0"/>
    <m/>
    <x v="2"/>
  </r>
  <r>
    <x v="44"/>
    <x v="1"/>
    <m/>
    <x v="2"/>
  </r>
  <r>
    <x v="44"/>
    <x v="2"/>
    <m/>
    <x v="2"/>
  </r>
  <r>
    <x v="44"/>
    <x v="3"/>
    <m/>
    <x v="2"/>
  </r>
  <r>
    <x v="45"/>
    <x v="0"/>
    <m/>
    <x v="2"/>
  </r>
  <r>
    <x v="45"/>
    <x v="1"/>
    <m/>
    <x v="2"/>
  </r>
  <r>
    <x v="45"/>
    <x v="2"/>
    <m/>
    <x v="2"/>
  </r>
  <r>
    <x v="45"/>
    <x v="3"/>
    <m/>
    <x v="2"/>
  </r>
  <r>
    <x v="46"/>
    <x v="0"/>
    <n v="32.78"/>
    <x v="2"/>
  </r>
  <r>
    <x v="46"/>
    <x v="1"/>
    <n v="33.5"/>
    <x v="2"/>
  </r>
  <r>
    <x v="46"/>
    <x v="2"/>
    <n v="34.29"/>
    <x v="2"/>
  </r>
  <r>
    <x v="46"/>
    <x v="3"/>
    <n v="35.32"/>
    <x v="2"/>
  </r>
  <r>
    <x v="47"/>
    <x v="0"/>
    <m/>
    <x v="2"/>
  </r>
  <r>
    <x v="47"/>
    <x v="1"/>
    <m/>
    <x v="2"/>
  </r>
  <r>
    <x v="47"/>
    <x v="2"/>
    <m/>
    <x v="2"/>
  </r>
  <r>
    <x v="47"/>
    <x v="3"/>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DECF50-1F69-4D58-A607-487DA711E6A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08:C113" firstHeaderRow="1" firstDataRow="2" firstDataCol="1"/>
  <pivotFields count="4">
    <pivotField axis="axisCol" showAll="0">
      <items count="49">
        <item h="1" x="23"/>
        <item h="1" x="24"/>
        <item h="1" x="17"/>
        <item h="1" x="18"/>
        <item h="1" x="14"/>
        <item h="1" x="5"/>
        <item h="1" x="6"/>
        <item h="1" x="4"/>
        <item h="1" x="39"/>
        <item h="1" x="38"/>
        <item h="1" x="35"/>
        <item h="1" x="3"/>
        <item h="1" x="0"/>
        <item h="1" x="37"/>
        <item h="1" x="1"/>
        <item h="1" x="19"/>
        <item h="1" x="45"/>
        <item h="1" x="13"/>
        <item h="1" x="33"/>
        <item h="1" x="2"/>
        <item h="1" x="8"/>
        <item h="1" x="12"/>
        <item h="1" x="32"/>
        <item h="1" x="11"/>
        <item h="1" x="7"/>
        <item h="1" x="28"/>
        <item h="1" x="27"/>
        <item h="1" x="26"/>
        <item h="1" x="9"/>
        <item h="1" x="22"/>
        <item h="1" x="21"/>
        <item h="1" x="15"/>
        <item h="1" x="20"/>
        <item h="1" x="16"/>
        <item h="1" x="34"/>
        <item h="1" x="25"/>
        <item h="1" x="10"/>
        <item h="1" x="46"/>
        <item h="1" x="47"/>
        <item h="1" x="44"/>
        <item h="1" x="40"/>
        <item x="42"/>
        <item h="1" x="41"/>
        <item x="43"/>
        <item h="1" x="31"/>
        <item h="1" x="36"/>
        <item h="1" x="29"/>
        <item h="1" x="30"/>
        <item t="default"/>
      </items>
    </pivotField>
    <pivotField axis="axisRow" showAll="0">
      <items count="9">
        <item m="1" x="4"/>
        <item m="1" x="5"/>
        <item m="1" x="6"/>
        <item m="1" x="7"/>
        <item x="0"/>
        <item x="1"/>
        <item x="2"/>
        <item x="3"/>
        <item t="default"/>
      </items>
    </pivotField>
    <pivotField dataField="1" showAll="0"/>
    <pivotField showAll="0"/>
  </pivotFields>
  <rowFields count="1">
    <field x="1"/>
  </rowFields>
  <rowItems count="4">
    <i>
      <x v="4"/>
    </i>
    <i>
      <x v="5"/>
    </i>
    <i>
      <x v="6"/>
    </i>
    <i>
      <x v="7"/>
    </i>
  </rowItems>
  <colFields count="1">
    <field x="0"/>
  </colFields>
  <colItems count="2">
    <i>
      <x v="41"/>
    </i>
    <i>
      <x v="43"/>
    </i>
  </colItems>
  <dataFields count="1">
    <dataField name="Sum of Giá trị" fld="2" baseField="0" baseItem="0"/>
  </dataFields>
  <chartFormats count="24">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 chart="6" format="12" series="1">
      <pivotArea type="data" outline="0" fieldPosition="0">
        <references count="2">
          <reference field="4294967294" count="1" selected="0">
            <x v="0"/>
          </reference>
          <reference field="0" count="1" selected="0">
            <x v="41"/>
          </reference>
        </references>
      </pivotArea>
    </chartFormat>
    <chartFormat chart="6" format="13" series="1">
      <pivotArea type="data" outline="0" fieldPosition="0">
        <references count="2">
          <reference field="4294967294" count="1" selected="0">
            <x v="0"/>
          </reference>
          <reference field="0" count="1" selected="0">
            <x v="43"/>
          </reference>
        </references>
      </pivotArea>
    </chartFormat>
    <chartFormat chart="15" format="0" series="1">
      <pivotArea type="data" outline="0" fieldPosition="0">
        <references count="2">
          <reference field="4294967294" count="1" selected="0">
            <x v="0"/>
          </reference>
          <reference field="0" count="1" selected="0">
            <x v="41"/>
          </reference>
        </references>
      </pivotArea>
    </chartFormat>
    <chartFormat chart="15" format="1" series="1">
      <pivotArea type="data" outline="0" fieldPosition="0">
        <references count="2">
          <reference field="4294967294" count="1" selected="0">
            <x v="0"/>
          </reference>
          <reference field="0" count="1" selected="0">
            <x v="43"/>
          </reference>
        </references>
      </pivotArea>
    </chartFormat>
    <chartFormat chart="17" format="4" series="1">
      <pivotArea type="data" outline="0" fieldPosition="0">
        <references count="2">
          <reference field="4294967294" count="1" selected="0">
            <x v="0"/>
          </reference>
          <reference field="0" count="1" selected="0">
            <x v="41"/>
          </reference>
        </references>
      </pivotArea>
    </chartFormat>
    <chartFormat chart="17" format="5" series="1">
      <pivotArea type="data" outline="0" fieldPosition="0">
        <references count="2">
          <reference field="4294967294" count="1" selected="0">
            <x v="0"/>
          </reference>
          <reference field="0" count="1" selected="0">
            <x v="43"/>
          </reference>
        </references>
      </pivotArea>
    </chartFormat>
    <chartFormat chart="20" format="0" series="1">
      <pivotArea type="data" outline="0" fieldPosition="0">
        <references count="2">
          <reference field="4294967294" count="1" selected="0">
            <x v="0"/>
          </reference>
          <reference field="0" count="1" selected="0">
            <x v="41"/>
          </reference>
        </references>
      </pivotArea>
    </chartFormat>
    <chartFormat chart="20" format="1" series="1">
      <pivotArea type="data" outline="0" fieldPosition="0">
        <references count="2">
          <reference field="4294967294" count="1" selected="0">
            <x v="0"/>
          </reference>
          <reference field="0" count="1" selected="0">
            <x v="43"/>
          </reference>
        </references>
      </pivotArea>
    </chartFormat>
    <chartFormat chart="22" format="2" series="1">
      <pivotArea type="data" outline="0" fieldPosition="0">
        <references count="2">
          <reference field="4294967294" count="1" selected="0">
            <x v="0"/>
          </reference>
          <reference field="0" count="1" selected="0">
            <x v="41"/>
          </reference>
        </references>
      </pivotArea>
    </chartFormat>
    <chartFormat chart="22" format="3" series="1">
      <pivotArea type="data" outline="0" fieldPosition="0">
        <references count="2">
          <reference field="4294967294" count="1" selected="0">
            <x v="0"/>
          </reference>
          <reference field="0" count="1" selected="0">
            <x v="43"/>
          </reference>
        </references>
      </pivotArea>
    </chartFormat>
    <chartFormat chart="23" format="4" series="1">
      <pivotArea type="data" outline="0" fieldPosition="0">
        <references count="2">
          <reference field="4294967294" count="1" selected="0">
            <x v="0"/>
          </reference>
          <reference field="0" count="1" selected="0">
            <x v="41"/>
          </reference>
        </references>
      </pivotArea>
    </chartFormat>
    <chartFormat chart="23" format="5"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148829-E89A-421C-9489-B5A8447CC0F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57:B62" firstHeaderRow="1" firstDataRow="2" firstDataCol="1"/>
  <pivotFields count="4">
    <pivotField axis="axisCol" showAll="0">
      <items count="49">
        <item h="1" x="23"/>
        <item x="24"/>
        <item h="1" x="17"/>
        <item h="1" x="18"/>
        <item h="1" x="14"/>
        <item h="1" x="5"/>
        <item h="1" x="6"/>
        <item h="1" x="4"/>
        <item h="1" x="39"/>
        <item h="1" x="38"/>
        <item h="1" x="35"/>
        <item h="1" x="3"/>
        <item h="1" x="0"/>
        <item h="1" x="37"/>
        <item h="1" x="1"/>
        <item h="1" x="19"/>
        <item h="1" x="45"/>
        <item h="1" x="13"/>
        <item h="1" x="33"/>
        <item h="1" x="2"/>
        <item h="1" x="8"/>
        <item h="1" x="12"/>
        <item h="1" x="32"/>
        <item h="1" x="11"/>
        <item h="1" x="7"/>
        <item h="1" x="28"/>
        <item h="1" x="27"/>
        <item h="1" x="26"/>
        <item h="1" x="9"/>
        <item h="1" x="22"/>
        <item h="1" x="21"/>
        <item h="1" x="15"/>
        <item h="1" x="20"/>
        <item h="1" x="16"/>
        <item h="1" x="34"/>
        <item h="1" x="25"/>
        <item h="1" x="10"/>
        <item h="1" x="46"/>
        <item h="1" x="47"/>
        <item h="1" x="44"/>
        <item h="1" x="40"/>
        <item h="1" x="42"/>
        <item h="1" x="41"/>
        <item h="1" x="43"/>
        <item h="1" x="31"/>
        <item h="1" x="36"/>
        <item h="1" x="29"/>
        <item h="1" x="30"/>
        <item t="default"/>
      </items>
    </pivotField>
    <pivotField axis="axisRow" showAll="0">
      <items count="9">
        <item m="1" x="4"/>
        <item m="1" x="5"/>
        <item m="1" x="6"/>
        <item m="1" x="7"/>
        <item x="0"/>
        <item x="1"/>
        <item x="2"/>
        <item x="3"/>
        <item t="default"/>
      </items>
    </pivotField>
    <pivotField dataField="1" showAll="0"/>
    <pivotField showAll="0">
      <items count="4">
        <item x="1"/>
        <item x="2"/>
        <item x="0"/>
        <item t="default"/>
      </items>
    </pivotField>
  </pivotFields>
  <rowFields count="1">
    <field x="1"/>
  </rowFields>
  <rowItems count="4">
    <i>
      <x v="4"/>
    </i>
    <i>
      <x v="5"/>
    </i>
    <i>
      <x v="6"/>
    </i>
    <i>
      <x v="7"/>
    </i>
  </rowItems>
  <colFields count="1">
    <field x="0"/>
  </colFields>
  <colItems count="1">
    <i>
      <x v="1"/>
    </i>
  </colItems>
  <dataFields count="1">
    <dataField name="Sum of Giá trị" fld="2" baseField="0" baseItem="0"/>
  </dataFields>
  <chartFormats count="61">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 chart="6" format="12" series="1">
      <pivotArea type="data" outline="0" fieldPosition="0">
        <references count="2">
          <reference field="4294967294" count="1" selected="0">
            <x v="0"/>
          </reference>
          <reference field="0" count="1" selected="0">
            <x v="40"/>
          </reference>
        </references>
      </pivotArea>
    </chartFormat>
    <chartFormat chart="6" format="13" series="1">
      <pivotArea type="data" outline="0" fieldPosition="0">
        <references count="2">
          <reference field="4294967294" count="1" selected="0">
            <x v="0"/>
          </reference>
          <reference field="0" count="1" selected="0">
            <x v="42"/>
          </reference>
        </references>
      </pivotArea>
    </chartFormat>
    <chartFormat chart="6" format="14" series="1">
      <pivotArea type="data" outline="0" fieldPosition="0">
        <references count="2">
          <reference field="4294967294" count="1" selected="0">
            <x v="0"/>
          </reference>
          <reference field="0" count="1" selected="0">
            <x v="2"/>
          </reference>
        </references>
      </pivotArea>
    </chartFormat>
    <chartFormat chart="6" format="15" series="1">
      <pivotArea type="data" outline="0" fieldPosition="0">
        <references count="2">
          <reference field="4294967294" count="1" selected="0">
            <x v="0"/>
          </reference>
          <reference field="0" count="1" selected="0">
            <x v="0"/>
          </reference>
        </references>
      </pivotArea>
    </chartFormat>
    <chartFormat chart="6" format="16" series="1">
      <pivotArea type="data" outline="0" fieldPosition="0">
        <references count="2">
          <reference field="4294967294" count="1" selected="0">
            <x v="0"/>
          </reference>
          <reference field="0" count="1" selected="0">
            <x v="1"/>
          </reference>
        </references>
      </pivotArea>
    </chartFormat>
    <chartFormat chart="6" format="17" series="1">
      <pivotArea type="data" outline="0" fieldPosition="0">
        <references count="2">
          <reference field="4294967294" count="1" selected="0">
            <x v="0"/>
          </reference>
          <reference field="0" count="1" selected="0">
            <x v="3"/>
          </reference>
        </references>
      </pivotArea>
    </chartFormat>
    <chartFormat chart="6" format="18" series="1">
      <pivotArea type="data" outline="0" fieldPosition="0">
        <references count="2">
          <reference field="4294967294" count="1" selected="0">
            <x v="0"/>
          </reference>
          <reference field="0" count="1" selected="0">
            <x v="4"/>
          </reference>
        </references>
      </pivotArea>
    </chartFormat>
    <chartFormat chart="6" format="19" series="1">
      <pivotArea type="data" outline="0" fieldPosition="0">
        <references count="2">
          <reference field="4294967294" count="1" selected="0">
            <x v="0"/>
          </reference>
          <reference field="0" count="1" selected="0">
            <x v="5"/>
          </reference>
        </references>
      </pivotArea>
    </chartFormat>
    <chartFormat chart="6" format="20" series="1">
      <pivotArea type="data" outline="0" fieldPosition="0">
        <references count="2">
          <reference field="4294967294" count="1" selected="0">
            <x v="0"/>
          </reference>
          <reference field="0" count="1" selected="0">
            <x v="6"/>
          </reference>
        </references>
      </pivotArea>
    </chartFormat>
    <chartFormat chart="6" format="21" series="1">
      <pivotArea type="data" outline="0" fieldPosition="0">
        <references count="2">
          <reference field="4294967294" count="1" selected="0">
            <x v="0"/>
          </reference>
          <reference field="0" count="1" selected="0">
            <x v="7"/>
          </reference>
        </references>
      </pivotArea>
    </chartFormat>
    <chartFormat chart="6" format="22" series="1">
      <pivotArea type="data" outline="0" fieldPosition="0">
        <references count="2">
          <reference field="4294967294" count="1" selected="0">
            <x v="0"/>
          </reference>
          <reference field="0" count="1" selected="0">
            <x v="8"/>
          </reference>
        </references>
      </pivotArea>
    </chartFormat>
    <chartFormat chart="6" format="23" series="1">
      <pivotArea type="data" outline="0" fieldPosition="0">
        <references count="2">
          <reference field="4294967294" count="1" selected="0">
            <x v="0"/>
          </reference>
          <reference field="0" count="1" selected="0">
            <x v="9"/>
          </reference>
        </references>
      </pivotArea>
    </chartFormat>
    <chartFormat chart="6" format="24" series="1">
      <pivotArea type="data" outline="0" fieldPosition="0">
        <references count="2">
          <reference field="4294967294" count="1" selected="0">
            <x v="0"/>
          </reference>
          <reference field="0" count="1" selected="0">
            <x v="10"/>
          </reference>
        </references>
      </pivotArea>
    </chartFormat>
    <chartFormat chart="6" format="25" series="1">
      <pivotArea type="data" outline="0" fieldPosition="0">
        <references count="2">
          <reference field="4294967294" count="1" selected="0">
            <x v="0"/>
          </reference>
          <reference field="0" count="1" selected="0">
            <x v="11"/>
          </reference>
        </references>
      </pivotArea>
    </chartFormat>
    <chartFormat chart="6" format="26" series="1">
      <pivotArea type="data" outline="0" fieldPosition="0">
        <references count="2">
          <reference field="4294967294" count="1" selected="0">
            <x v="0"/>
          </reference>
          <reference field="0" count="1" selected="0">
            <x v="12"/>
          </reference>
        </references>
      </pivotArea>
    </chartFormat>
    <chartFormat chart="6" format="27" series="1">
      <pivotArea type="data" outline="0" fieldPosition="0">
        <references count="2">
          <reference field="4294967294" count="1" selected="0">
            <x v="0"/>
          </reference>
          <reference field="0" count="1" selected="0">
            <x v="13"/>
          </reference>
        </references>
      </pivotArea>
    </chartFormat>
    <chartFormat chart="6" format="28" series="1">
      <pivotArea type="data" outline="0" fieldPosition="0">
        <references count="2">
          <reference field="4294967294" count="1" selected="0">
            <x v="0"/>
          </reference>
          <reference field="0" count="1" selected="0">
            <x v="14"/>
          </reference>
        </references>
      </pivotArea>
    </chartFormat>
    <chartFormat chart="6" format="29" series="1">
      <pivotArea type="data" outline="0" fieldPosition="0">
        <references count="2">
          <reference field="4294967294" count="1" selected="0">
            <x v="0"/>
          </reference>
          <reference field="0" count="1" selected="0">
            <x v="15"/>
          </reference>
        </references>
      </pivotArea>
    </chartFormat>
    <chartFormat chart="6" format="30" series="1">
      <pivotArea type="data" outline="0" fieldPosition="0">
        <references count="2">
          <reference field="4294967294" count="1" selected="0">
            <x v="0"/>
          </reference>
          <reference field="0" count="1" selected="0">
            <x v="16"/>
          </reference>
        </references>
      </pivotArea>
    </chartFormat>
    <chartFormat chart="6" format="31" series="1">
      <pivotArea type="data" outline="0" fieldPosition="0">
        <references count="2">
          <reference field="4294967294" count="1" selected="0">
            <x v="0"/>
          </reference>
          <reference field="0" count="1" selected="0">
            <x v="17"/>
          </reference>
        </references>
      </pivotArea>
    </chartFormat>
    <chartFormat chart="6" format="32" series="1">
      <pivotArea type="data" outline="0" fieldPosition="0">
        <references count="2">
          <reference field="4294967294" count="1" selected="0">
            <x v="0"/>
          </reference>
          <reference field="0" count="1" selected="0">
            <x v="18"/>
          </reference>
        </references>
      </pivotArea>
    </chartFormat>
    <chartFormat chart="6" format="33" series="1">
      <pivotArea type="data" outline="0" fieldPosition="0">
        <references count="2">
          <reference field="4294967294" count="1" selected="0">
            <x v="0"/>
          </reference>
          <reference field="0" count="1" selected="0">
            <x v="19"/>
          </reference>
        </references>
      </pivotArea>
    </chartFormat>
    <chartFormat chart="6" format="34" series="1">
      <pivotArea type="data" outline="0" fieldPosition="0">
        <references count="2">
          <reference field="4294967294" count="1" selected="0">
            <x v="0"/>
          </reference>
          <reference field="0" count="1" selected="0">
            <x v="20"/>
          </reference>
        </references>
      </pivotArea>
    </chartFormat>
    <chartFormat chart="6" format="35" series="1">
      <pivotArea type="data" outline="0" fieldPosition="0">
        <references count="2">
          <reference field="4294967294" count="1" selected="0">
            <x v="0"/>
          </reference>
          <reference field="0" count="1" selected="0">
            <x v="21"/>
          </reference>
        </references>
      </pivotArea>
    </chartFormat>
    <chartFormat chart="6" format="36" series="1">
      <pivotArea type="data" outline="0" fieldPosition="0">
        <references count="2">
          <reference field="4294967294" count="1" selected="0">
            <x v="0"/>
          </reference>
          <reference field="0" count="1" selected="0">
            <x v="22"/>
          </reference>
        </references>
      </pivotArea>
    </chartFormat>
    <chartFormat chart="6" format="37" series="1">
      <pivotArea type="data" outline="0" fieldPosition="0">
        <references count="2">
          <reference field="4294967294" count="1" selected="0">
            <x v="0"/>
          </reference>
          <reference field="0" count="1" selected="0">
            <x v="23"/>
          </reference>
        </references>
      </pivotArea>
    </chartFormat>
    <chartFormat chart="6" format="38" series="1">
      <pivotArea type="data" outline="0" fieldPosition="0">
        <references count="2">
          <reference field="4294967294" count="1" selected="0">
            <x v="0"/>
          </reference>
          <reference field="0" count="1" selected="0">
            <x v="24"/>
          </reference>
        </references>
      </pivotArea>
    </chartFormat>
    <chartFormat chart="6" format="39" series="1">
      <pivotArea type="data" outline="0" fieldPosition="0">
        <references count="2">
          <reference field="4294967294" count="1" selected="0">
            <x v="0"/>
          </reference>
          <reference field="0" count="1" selected="0">
            <x v="25"/>
          </reference>
        </references>
      </pivotArea>
    </chartFormat>
    <chartFormat chart="6" format="40" series="1">
      <pivotArea type="data" outline="0" fieldPosition="0">
        <references count="2">
          <reference field="4294967294" count="1" selected="0">
            <x v="0"/>
          </reference>
          <reference field="0" count="1" selected="0">
            <x v="26"/>
          </reference>
        </references>
      </pivotArea>
    </chartFormat>
    <chartFormat chart="6" format="41" series="1">
      <pivotArea type="data" outline="0" fieldPosition="0">
        <references count="2">
          <reference field="4294967294" count="1" selected="0">
            <x v="0"/>
          </reference>
          <reference field="0" count="1" selected="0">
            <x v="27"/>
          </reference>
        </references>
      </pivotArea>
    </chartFormat>
    <chartFormat chart="6" format="42" series="1">
      <pivotArea type="data" outline="0" fieldPosition="0">
        <references count="2">
          <reference field="4294967294" count="1" selected="0">
            <x v="0"/>
          </reference>
          <reference field="0" count="1" selected="0">
            <x v="28"/>
          </reference>
        </references>
      </pivotArea>
    </chartFormat>
    <chartFormat chart="6" format="43" series="1">
      <pivotArea type="data" outline="0" fieldPosition="0">
        <references count="2">
          <reference field="4294967294" count="1" selected="0">
            <x v="0"/>
          </reference>
          <reference field="0" count="1" selected="0">
            <x v="29"/>
          </reference>
        </references>
      </pivotArea>
    </chartFormat>
    <chartFormat chart="6" format="44" series="1">
      <pivotArea type="data" outline="0" fieldPosition="0">
        <references count="2">
          <reference field="4294967294" count="1" selected="0">
            <x v="0"/>
          </reference>
          <reference field="0" count="1" selected="0">
            <x v="30"/>
          </reference>
        </references>
      </pivotArea>
    </chartFormat>
    <chartFormat chart="6" format="45" series="1">
      <pivotArea type="data" outline="0" fieldPosition="0">
        <references count="2">
          <reference field="4294967294" count="1" selected="0">
            <x v="0"/>
          </reference>
          <reference field="0" count="1" selected="0">
            <x v="31"/>
          </reference>
        </references>
      </pivotArea>
    </chartFormat>
    <chartFormat chart="6" format="46" series="1">
      <pivotArea type="data" outline="0" fieldPosition="0">
        <references count="2">
          <reference field="4294967294" count="1" selected="0">
            <x v="0"/>
          </reference>
          <reference field="0" count="1" selected="0">
            <x v="32"/>
          </reference>
        </references>
      </pivotArea>
    </chartFormat>
    <chartFormat chart="6" format="47" series="1">
      <pivotArea type="data" outline="0" fieldPosition="0">
        <references count="2">
          <reference field="4294967294" count="1" selected="0">
            <x v="0"/>
          </reference>
          <reference field="0" count="1" selected="0">
            <x v="33"/>
          </reference>
        </references>
      </pivotArea>
    </chartFormat>
    <chartFormat chart="6" format="48" series="1">
      <pivotArea type="data" outline="0" fieldPosition="0">
        <references count="2">
          <reference field="4294967294" count="1" selected="0">
            <x v="0"/>
          </reference>
          <reference field="0" count="1" selected="0">
            <x v="34"/>
          </reference>
        </references>
      </pivotArea>
    </chartFormat>
    <chartFormat chart="6" format="49" series="1">
      <pivotArea type="data" outline="0" fieldPosition="0">
        <references count="2">
          <reference field="4294967294" count="1" selected="0">
            <x v="0"/>
          </reference>
          <reference field="0" count="1" selected="0">
            <x v="35"/>
          </reference>
        </references>
      </pivotArea>
    </chartFormat>
    <chartFormat chart="6" format="50" series="1">
      <pivotArea type="data" outline="0" fieldPosition="0">
        <references count="2">
          <reference field="4294967294" count="1" selected="0">
            <x v="0"/>
          </reference>
          <reference field="0" count="1" selected="0">
            <x v="36"/>
          </reference>
        </references>
      </pivotArea>
    </chartFormat>
    <chartFormat chart="6" format="51" series="1">
      <pivotArea type="data" outline="0" fieldPosition="0">
        <references count="2">
          <reference field="4294967294" count="1" selected="0">
            <x v="0"/>
          </reference>
          <reference field="0" count="1" selected="0">
            <x v="37"/>
          </reference>
        </references>
      </pivotArea>
    </chartFormat>
    <chartFormat chart="6" format="52" series="1">
      <pivotArea type="data" outline="0" fieldPosition="0">
        <references count="2">
          <reference field="4294967294" count="1" selected="0">
            <x v="0"/>
          </reference>
          <reference field="0" count="1" selected="0">
            <x v="38"/>
          </reference>
        </references>
      </pivotArea>
    </chartFormat>
    <chartFormat chart="6" format="53" series="1">
      <pivotArea type="data" outline="0" fieldPosition="0">
        <references count="2">
          <reference field="4294967294" count="1" selected="0">
            <x v="0"/>
          </reference>
          <reference field="0" count="1" selected="0">
            <x v="39"/>
          </reference>
        </references>
      </pivotArea>
    </chartFormat>
    <chartFormat chart="6" format="54" series="1">
      <pivotArea type="data" outline="0" fieldPosition="0">
        <references count="2">
          <reference field="4294967294" count="1" selected="0">
            <x v="0"/>
          </reference>
          <reference field="0" count="1" selected="0">
            <x v="41"/>
          </reference>
        </references>
      </pivotArea>
    </chartFormat>
    <chartFormat chart="6" format="55" series="1">
      <pivotArea type="data" outline="0" fieldPosition="0">
        <references count="2">
          <reference field="4294967294" count="1" selected="0">
            <x v="0"/>
          </reference>
          <reference field="0" count="1" selected="0">
            <x v="43"/>
          </reference>
        </references>
      </pivotArea>
    </chartFormat>
    <chartFormat chart="6" format="56" series="1">
      <pivotArea type="data" outline="0" fieldPosition="0">
        <references count="2">
          <reference field="4294967294" count="1" selected="0">
            <x v="0"/>
          </reference>
          <reference field="0" count="1" selected="0">
            <x v="44"/>
          </reference>
        </references>
      </pivotArea>
    </chartFormat>
    <chartFormat chart="6" format="57" series="1">
      <pivotArea type="data" outline="0" fieldPosition="0">
        <references count="2">
          <reference field="4294967294" count="1" selected="0">
            <x v="0"/>
          </reference>
          <reference field="0" count="1" selected="0">
            <x v="45"/>
          </reference>
        </references>
      </pivotArea>
    </chartFormat>
    <chartFormat chart="6" format="58" series="1">
      <pivotArea type="data" outline="0" fieldPosition="0">
        <references count="2">
          <reference field="4294967294" count="1" selected="0">
            <x v="0"/>
          </reference>
          <reference field="0" count="1" selected="0">
            <x v="46"/>
          </reference>
        </references>
      </pivotArea>
    </chartFormat>
    <chartFormat chart="6" format="59" series="1">
      <pivotArea type="data" outline="0" fieldPosition="0">
        <references count="2">
          <reference field="4294967294" count="1" selected="0">
            <x v="0"/>
          </reference>
          <reference field="0" count="1" selected="0">
            <x v="47"/>
          </reference>
        </references>
      </pivotArea>
    </chartFormat>
    <chartFormat chart="6" format="6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4F1E8-992A-44F5-BEC1-85815AFE69F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C8" firstHeaderRow="1" firstDataRow="2" firstDataCol="1"/>
  <pivotFields count="4">
    <pivotField axis="axisCol" showAll="0">
      <items count="49">
        <item h="1" x="23"/>
        <item h="1" x="24"/>
        <item h="1" x="17"/>
        <item h="1" x="18"/>
        <item h="1" x="14"/>
        <item h="1" x="5"/>
        <item h="1" x="6"/>
        <item h="1" x="4"/>
        <item h="1" x="39"/>
        <item h="1" x="38"/>
        <item h="1" x="35"/>
        <item h="1" x="3"/>
        <item x="0"/>
        <item h="1" x="37"/>
        <item h="1" x="1"/>
        <item h="1" x="19"/>
        <item h="1" x="45"/>
        <item h="1" x="13"/>
        <item h="1" x="33"/>
        <item h="1" x="2"/>
        <item h="1" x="8"/>
        <item h="1" x="12"/>
        <item h="1" x="32"/>
        <item x="11"/>
        <item h="1" x="7"/>
        <item h="1" x="28"/>
        <item h="1" x="27"/>
        <item h="1" x="26"/>
        <item h="1" x="9"/>
        <item h="1" x="22"/>
        <item h="1" x="21"/>
        <item h="1" x="15"/>
        <item h="1" x="20"/>
        <item h="1" x="16"/>
        <item h="1" x="34"/>
        <item h="1" x="25"/>
        <item h="1" x="10"/>
        <item h="1" x="46"/>
        <item h="1" x="47"/>
        <item h="1" x="44"/>
        <item h="1" x="40"/>
        <item h="1" x="42"/>
        <item h="1" x="41"/>
        <item h="1" x="43"/>
        <item h="1" x="31"/>
        <item h="1" x="36"/>
        <item h="1" x="29"/>
        <item h="1" x="30"/>
        <item t="default"/>
      </items>
    </pivotField>
    <pivotField axis="axisRow" showAll="0">
      <items count="9">
        <item m="1" x="4"/>
        <item m="1" x="5"/>
        <item m="1" x="6"/>
        <item m="1" x="7"/>
        <item x="0"/>
        <item x="1"/>
        <item x="2"/>
        <item x="3"/>
        <item t="default"/>
      </items>
    </pivotField>
    <pivotField dataField="1" showAll="0"/>
    <pivotField showAll="0"/>
  </pivotFields>
  <rowFields count="1">
    <field x="1"/>
  </rowFields>
  <rowItems count="4">
    <i>
      <x v="4"/>
    </i>
    <i>
      <x v="5"/>
    </i>
    <i>
      <x v="6"/>
    </i>
    <i>
      <x v="7"/>
    </i>
  </rowItems>
  <colFields count="1">
    <field x="0"/>
  </colFields>
  <colItems count="2">
    <i>
      <x v="12"/>
    </i>
    <i>
      <x v="23"/>
    </i>
  </colItems>
  <dataFields count="1">
    <dataField name="Sum of Giá trị" fld="2" baseField="0" baseItem="0"/>
  </dataFields>
  <chartFormats count="13">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2">
          <reference field="4294967294" count="1" selected="0">
            <x v="0"/>
          </reference>
          <reference field="1" count="1" selected="0">
            <x v="4"/>
          </reference>
        </references>
      </pivotArea>
    </chartFormat>
    <chartFormat chart="3" format="14" series="1">
      <pivotArea type="data" outline="0" fieldPosition="0">
        <references count="2">
          <reference field="4294967294" count="1" selected="0">
            <x v="0"/>
          </reference>
          <reference field="1" count="1" selected="0">
            <x v="5"/>
          </reference>
        </references>
      </pivotArea>
    </chartFormat>
    <chartFormat chart="3" format="15" series="1">
      <pivotArea type="data" outline="0" fieldPosition="0">
        <references count="2">
          <reference field="4294967294" count="1" selected="0">
            <x v="0"/>
          </reference>
          <reference field="1" count="1" selected="0">
            <x v="6"/>
          </reference>
        </references>
      </pivotArea>
    </chartFormat>
    <chartFormat chart="3" format="16"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B9DD32A-20EC-4AB1-BD61-2069D4161BC7}" autoFormatId="16" applyNumberFormats="0" applyBorderFormats="0" applyFontFormats="0" applyPatternFormats="0" applyAlignmentFormats="0" applyWidthHeightFormats="0">
  <queryTableRefresh nextId="9">
    <queryTableFields count="4">
      <queryTableField id="6" name="Chỉ tiêu" tableColumnId="1"/>
      <queryTableField id="4" name="Năm" tableColumnId="4"/>
      <queryTableField id="5" name="Giá trị" tableColumnId="5"/>
      <queryTableField id="7" name="Nhóm"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ăm" xr10:uid="{BC1B6271-8112-46B1-B6E9-50745D7B69E4}" sourceName="Năm">
  <pivotTables>
    <pivotTable tabId="7" name="PivotTable2"/>
    <pivotTable tabId="7" name="PivotTable1"/>
    <pivotTable tabId="7" name="PivotTable3"/>
  </pivotTables>
  <data>
    <tabular pivotCacheId="1206088006">
      <items count="8">
        <i x="0" s="1"/>
        <i x="1" s="1"/>
        <i x="2" s="1"/>
        <i x="3" s="1"/>
        <i x="4" s="1" nd="1"/>
        <i x="5" s="1" nd="1"/>
        <i x="6"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hóm" xr10:uid="{F799A755-F8FC-45FF-B13E-7990D92D7447}" sourceName="Nhóm">
  <pivotTables>
    <pivotTable tabId="7" name="PivotTable1"/>
  </pivotTables>
  <data>
    <tabular pivotCacheId="1206088006">
      <items count="3">
        <i x="1" s="1"/>
        <i x="2"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ỉ_tiêu" xr10:uid="{9DFBC7F4-96AC-4349-926C-9EE464028714}" sourceName="Chỉ tiêu">
  <pivotTables>
    <pivotTable tabId="7" name="PivotTable2"/>
  </pivotTables>
  <data>
    <tabular pivotCacheId="1206088006">
      <items count="48">
        <i x="23"/>
        <i x="24"/>
        <i x="17"/>
        <i x="18"/>
        <i x="5"/>
        <i x="6"/>
        <i x="4"/>
        <i x="38"/>
        <i x="35"/>
        <i x="3"/>
        <i x="0" s="1"/>
        <i x="37"/>
        <i x="1"/>
        <i x="19"/>
        <i x="13"/>
        <i x="33"/>
        <i x="2"/>
        <i x="8"/>
        <i x="12"/>
        <i x="32"/>
        <i x="11" s="1"/>
        <i x="7"/>
        <i x="28"/>
        <i x="27"/>
        <i x="26"/>
        <i x="9"/>
        <i x="22"/>
        <i x="21"/>
        <i x="15"/>
        <i x="20"/>
        <i x="16"/>
        <i x="34"/>
        <i x="25"/>
        <i x="10"/>
        <i x="46"/>
        <i x="40"/>
        <i x="42"/>
        <i x="41"/>
        <i x="43"/>
        <i x="31"/>
        <i x="36"/>
        <i x="29"/>
        <i x="30"/>
        <i x="14" nd="1"/>
        <i x="39" nd="1"/>
        <i x="45" nd="1"/>
        <i x="47" nd="1"/>
        <i x="4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ăm 1" xr10:uid="{690A2F8E-BEA6-4E71-BE7E-905395152547}" cache="Slicer_Năm" caption="Năm" style="SlicerStyleDark1" rowHeight="241300"/>
  <slicer name="Nhóm" xr10:uid="{8BFDFB73-1E0C-42DC-AF03-23021BF31AD5}" cache="Slicer_Nhóm" caption="Nhóm" style="SlicerStyleDark1" rowHeight="241300"/>
  <slicer name="Chỉ tiêu" xr10:uid="{100EAA1B-D35A-4249-9C94-4205ACE47AFF}" cache="Slicer_Chỉ_tiêu" caption="Chỉ tiêu"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723803-C3EC-44E3-95C2-27C4177789C3}" name="Table1_1" displayName="Table1_1" ref="A1:D185" tableType="queryTable" totalsRowShown="0">
  <autoFilter ref="A1:D185" xr:uid="{D1723803-C3EC-44E3-95C2-27C4177789C3}"/>
  <tableColumns count="4">
    <tableColumn id="1" xr3:uid="{04DE8FD8-9AE7-43B2-9615-BFCCC5052FBE}" uniqueName="1" name="Chỉ tiêu" queryTableFieldId="6" dataDxfId="2"/>
    <tableColumn id="4" xr3:uid="{88D1BBBF-DB03-4F40-A990-8A446EE4B876}" uniqueName="4" name="Năm" queryTableFieldId="4" dataDxfId="1"/>
    <tableColumn id="5" xr3:uid="{CA3210E1-18B5-4CF3-97E1-ECF4C683B7A6}" uniqueName="5" name="Giá trị" queryTableFieldId="5" dataDxfId="0"/>
    <tableColumn id="2" xr3:uid="{3302A00E-F2D9-4C70-852B-7D66942615F6}" uniqueName="2" name="Nhóm"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F3E348-CBB2-4662-A0DA-27D68DD978B1}" name="Table1" displayName="Table1" ref="A1:E49" totalsRowShown="0" headerRowDxfId="12" dataDxfId="10" headerRowBorderDxfId="11" tableBorderDxfId="9" totalsRowBorderDxfId="8">
  <autoFilter ref="A1:E49" xr:uid="{83F3E348-CBB2-4662-A0DA-27D68DD978B1}"/>
  <tableColumns count="5">
    <tableColumn id="1" xr3:uid="{F16690ED-59C2-4A12-99CC-062E63EAB5F2}" name="Kết quả kinh doanh" dataDxfId="7"/>
    <tableColumn id="2" xr3:uid="{4BBD5855-5416-47FB-A84C-3718CF1D55A7}" name="2022 Đã kiểm toán" dataDxfId="6"/>
    <tableColumn id="3" xr3:uid="{1C4C38F8-A6A2-4E62-877A-AB8B46FABDD7}" name="2023 Đã kiểm toán" dataDxfId="5"/>
    <tableColumn id="4" xr3:uid="{626F7938-C75C-4D94-9081-08DC0B9EA22E}" name="2024 Đã kiểm toán" dataDxfId="4"/>
    <tableColumn id="5" xr3:uid="{2D333210-E976-49D7-807C-7EB1E782DDB6}" name="2025 Đã kiểm toá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2F5496"/>
      </a:accent1>
      <a:accent2>
        <a:srgbClr val="FF0000"/>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D772-D086-400F-A15A-667B513C929F}">
  <dimension ref="A1:D185"/>
  <sheetViews>
    <sheetView topLeftCell="A142" workbookViewId="0">
      <selection activeCell="B7" sqref="B7"/>
    </sheetView>
  </sheetViews>
  <sheetFormatPr defaultRowHeight="14.5" x14ac:dyDescent="0.35"/>
  <cols>
    <col min="1" max="1" width="48.36328125" bestFit="1" customWidth="1"/>
    <col min="2" max="2" width="16.36328125" bestFit="1" customWidth="1"/>
    <col min="3" max="3" width="8.81640625" bestFit="1" customWidth="1"/>
    <col min="4" max="5" width="8.1796875" bestFit="1" customWidth="1"/>
    <col min="6" max="7" width="16.36328125" bestFit="1" customWidth="1"/>
  </cols>
  <sheetData>
    <row r="1" spans="1:4" x14ac:dyDescent="0.35">
      <c r="A1" t="s">
        <v>116</v>
      </c>
      <c r="B1" t="s">
        <v>53</v>
      </c>
      <c r="C1" t="s">
        <v>54</v>
      </c>
      <c r="D1" t="s">
        <v>117</v>
      </c>
    </row>
    <row r="2" spans="1:4" x14ac:dyDescent="0.35">
      <c r="A2" t="s">
        <v>16</v>
      </c>
      <c r="B2" t="s">
        <v>55</v>
      </c>
      <c r="C2">
        <v>59956.25</v>
      </c>
      <c r="D2" t="s">
        <v>118</v>
      </c>
    </row>
    <row r="3" spans="1:4" x14ac:dyDescent="0.35">
      <c r="A3" t="s">
        <v>16</v>
      </c>
      <c r="B3" t="s">
        <v>56</v>
      </c>
      <c r="C3">
        <v>60368.92</v>
      </c>
      <c r="D3" t="s">
        <v>118</v>
      </c>
    </row>
    <row r="4" spans="1:4" x14ac:dyDescent="0.35">
      <c r="A4" t="s">
        <v>16</v>
      </c>
      <c r="B4" t="s">
        <v>3</v>
      </c>
      <c r="C4">
        <v>61782.61</v>
      </c>
      <c r="D4" t="s">
        <v>118</v>
      </c>
    </row>
    <row r="5" spans="1:4" x14ac:dyDescent="0.35">
      <c r="A5" t="s">
        <v>16</v>
      </c>
      <c r="B5" t="s">
        <v>4</v>
      </c>
      <c r="C5">
        <v>63645.89</v>
      </c>
      <c r="D5" t="s">
        <v>118</v>
      </c>
    </row>
    <row r="6" spans="1:4" x14ac:dyDescent="0.35">
      <c r="A6" t="s">
        <v>18</v>
      </c>
      <c r="B6" t="s">
        <v>55</v>
      </c>
      <c r="C6">
        <v>36059.019999999997</v>
      </c>
      <c r="D6" t="s">
        <v>118</v>
      </c>
    </row>
    <row r="7" spans="1:4" x14ac:dyDescent="0.35">
      <c r="A7" t="s">
        <v>18</v>
      </c>
      <c r="B7" t="s">
        <v>56</v>
      </c>
      <c r="C7">
        <v>35824.18</v>
      </c>
      <c r="D7" t="s">
        <v>118</v>
      </c>
    </row>
    <row r="8" spans="1:4" x14ac:dyDescent="0.35">
      <c r="A8" t="s">
        <v>18</v>
      </c>
      <c r="B8" t="s">
        <v>3</v>
      </c>
      <c r="C8">
        <v>36192.43</v>
      </c>
      <c r="D8" t="s">
        <v>118</v>
      </c>
    </row>
    <row r="9" spans="1:4" x14ac:dyDescent="0.35">
      <c r="A9" t="s">
        <v>18</v>
      </c>
      <c r="B9" t="s">
        <v>4</v>
      </c>
      <c r="C9">
        <v>37436.410000000003</v>
      </c>
      <c r="D9" t="s">
        <v>118</v>
      </c>
    </row>
    <row r="10" spans="1:4" x14ac:dyDescent="0.35">
      <c r="A10" t="s">
        <v>23</v>
      </c>
      <c r="B10" t="s">
        <v>55</v>
      </c>
      <c r="C10">
        <v>23897.23</v>
      </c>
      <c r="D10" t="s">
        <v>118</v>
      </c>
    </row>
    <row r="11" spans="1:4" x14ac:dyDescent="0.35">
      <c r="A11" t="s">
        <v>23</v>
      </c>
      <c r="B11" t="s">
        <v>56</v>
      </c>
      <c r="C11">
        <v>24544.73</v>
      </c>
      <c r="D11" t="s">
        <v>118</v>
      </c>
    </row>
    <row r="12" spans="1:4" x14ac:dyDescent="0.35">
      <c r="A12" t="s">
        <v>23</v>
      </c>
      <c r="B12" t="s">
        <v>3</v>
      </c>
      <c r="C12">
        <v>25590.18</v>
      </c>
      <c r="D12" t="s">
        <v>118</v>
      </c>
    </row>
    <row r="13" spans="1:4" x14ac:dyDescent="0.35">
      <c r="A13" t="s">
        <v>23</v>
      </c>
      <c r="B13" t="s">
        <v>4</v>
      </c>
      <c r="C13">
        <v>26209.47</v>
      </c>
      <c r="D13" t="s">
        <v>118</v>
      </c>
    </row>
    <row r="14" spans="1:4" x14ac:dyDescent="0.35">
      <c r="A14" t="s">
        <v>15</v>
      </c>
      <c r="B14" t="s">
        <v>55</v>
      </c>
      <c r="C14">
        <v>1379.9</v>
      </c>
      <c r="D14" t="s">
        <v>118</v>
      </c>
    </row>
    <row r="15" spans="1:4" x14ac:dyDescent="0.35">
      <c r="A15" t="s">
        <v>15</v>
      </c>
      <c r="B15" t="s">
        <v>56</v>
      </c>
      <c r="C15">
        <v>1716.37</v>
      </c>
      <c r="D15" t="s">
        <v>118</v>
      </c>
    </row>
    <row r="16" spans="1:4" x14ac:dyDescent="0.35">
      <c r="A16" t="s">
        <v>15</v>
      </c>
      <c r="B16" t="s">
        <v>3</v>
      </c>
      <c r="C16">
        <v>1585.66</v>
      </c>
      <c r="D16" t="s">
        <v>118</v>
      </c>
    </row>
    <row r="17" spans="1:4" x14ac:dyDescent="0.35">
      <c r="A17" t="s">
        <v>15</v>
      </c>
      <c r="B17" t="s">
        <v>4</v>
      </c>
      <c r="C17">
        <v>1496.85</v>
      </c>
      <c r="D17" t="s">
        <v>118</v>
      </c>
    </row>
    <row r="18" spans="1:4" x14ac:dyDescent="0.35">
      <c r="A18" t="s">
        <v>11</v>
      </c>
      <c r="B18" t="s">
        <v>55</v>
      </c>
      <c r="C18">
        <v>617.54</v>
      </c>
      <c r="D18" t="s">
        <v>118</v>
      </c>
    </row>
    <row r="19" spans="1:4" x14ac:dyDescent="0.35">
      <c r="A19" t="s">
        <v>11</v>
      </c>
      <c r="B19" t="s">
        <v>56</v>
      </c>
      <c r="C19">
        <v>503.12</v>
      </c>
      <c r="D19" t="s">
        <v>118</v>
      </c>
    </row>
    <row r="20" spans="1:4" x14ac:dyDescent="0.35">
      <c r="A20" t="s">
        <v>11</v>
      </c>
      <c r="B20" t="s">
        <v>3</v>
      </c>
      <c r="C20">
        <v>428.24</v>
      </c>
      <c r="D20" t="s">
        <v>118</v>
      </c>
    </row>
    <row r="21" spans="1:4" x14ac:dyDescent="0.35">
      <c r="A21" t="s">
        <v>11</v>
      </c>
      <c r="B21" t="s">
        <v>4</v>
      </c>
      <c r="C21">
        <v>350.23</v>
      </c>
      <c r="D21" t="s">
        <v>118</v>
      </c>
    </row>
    <row r="22" spans="1:4" x14ac:dyDescent="0.35">
      <c r="A22" t="s">
        <v>9</v>
      </c>
      <c r="B22" t="s">
        <v>55</v>
      </c>
      <c r="C22">
        <v>12548.21</v>
      </c>
      <c r="D22" t="s">
        <v>118</v>
      </c>
    </row>
    <row r="23" spans="1:4" x14ac:dyDescent="0.35">
      <c r="A23" t="s">
        <v>9</v>
      </c>
      <c r="B23" t="s">
        <v>56</v>
      </c>
      <c r="C23">
        <v>13018.09</v>
      </c>
      <c r="D23" t="s">
        <v>118</v>
      </c>
    </row>
    <row r="24" spans="1:4" x14ac:dyDescent="0.35">
      <c r="A24" t="s">
        <v>9</v>
      </c>
      <c r="B24" t="s">
        <v>3</v>
      </c>
      <c r="C24">
        <v>13357.71</v>
      </c>
      <c r="D24" t="s">
        <v>118</v>
      </c>
    </row>
    <row r="25" spans="1:4" x14ac:dyDescent="0.35">
      <c r="A25" t="s">
        <v>9</v>
      </c>
      <c r="B25" t="s">
        <v>4</v>
      </c>
      <c r="C25">
        <v>13641.69</v>
      </c>
      <c r="D25" t="s">
        <v>118</v>
      </c>
    </row>
    <row r="26" spans="1:4" x14ac:dyDescent="0.35">
      <c r="A26" t="s">
        <v>10</v>
      </c>
      <c r="B26" t="s">
        <v>55</v>
      </c>
      <c r="C26">
        <v>1595.85</v>
      </c>
      <c r="D26" t="s">
        <v>118</v>
      </c>
    </row>
    <row r="27" spans="1:4" x14ac:dyDescent="0.35">
      <c r="A27" t="s">
        <v>10</v>
      </c>
      <c r="B27" t="s">
        <v>56</v>
      </c>
      <c r="C27">
        <v>1755.62</v>
      </c>
      <c r="D27" t="s">
        <v>118</v>
      </c>
    </row>
    <row r="28" spans="1:4" x14ac:dyDescent="0.35">
      <c r="A28" t="s">
        <v>10</v>
      </c>
      <c r="B28" t="s">
        <v>3</v>
      </c>
      <c r="C28">
        <v>1827.92</v>
      </c>
      <c r="D28" t="s">
        <v>118</v>
      </c>
    </row>
    <row r="29" spans="1:4" x14ac:dyDescent="0.35">
      <c r="A29" t="s">
        <v>10</v>
      </c>
      <c r="B29" t="s">
        <v>4</v>
      </c>
      <c r="C29">
        <v>1904.07</v>
      </c>
      <c r="D29" t="s">
        <v>118</v>
      </c>
    </row>
    <row r="30" spans="1:4" x14ac:dyDescent="0.35">
      <c r="A30" t="s">
        <v>28</v>
      </c>
      <c r="B30" t="s">
        <v>55</v>
      </c>
      <c r="C30">
        <v>10491.06</v>
      </c>
      <c r="D30" t="s">
        <v>118</v>
      </c>
    </row>
    <row r="31" spans="1:4" x14ac:dyDescent="0.35">
      <c r="A31" t="s">
        <v>28</v>
      </c>
      <c r="B31" t="s">
        <v>56</v>
      </c>
      <c r="C31">
        <v>10903.63</v>
      </c>
      <c r="D31" t="s">
        <v>118</v>
      </c>
    </row>
    <row r="32" spans="1:4" x14ac:dyDescent="0.35">
      <c r="A32" t="s">
        <v>28</v>
      </c>
      <c r="B32" t="s">
        <v>3</v>
      </c>
      <c r="C32">
        <v>11593.98</v>
      </c>
      <c r="D32" t="s">
        <v>118</v>
      </c>
    </row>
    <row r="33" spans="1:4" x14ac:dyDescent="0.35">
      <c r="A33" t="s">
        <v>28</v>
      </c>
      <c r="B33" t="s">
        <v>4</v>
      </c>
      <c r="C33">
        <v>11659.77</v>
      </c>
      <c r="D33" t="s">
        <v>118</v>
      </c>
    </row>
    <row r="34" spans="1:4" x14ac:dyDescent="0.35">
      <c r="A34" t="s">
        <v>24</v>
      </c>
      <c r="B34" t="s">
        <v>55</v>
      </c>
      <c r="C34">
        <v>4.47</v>
      </c>
      <c r="D34" t="s">
        <v>118</v>
      </c>
    </row>
    <row r="35" spans="1:4" x14ac:dyDescent="0.35">
      <c r="A35" t="s">
        <v>24</v>
      </c>
      <c r="B35" t="s">
        <v>56</v>
      </c>
      <c r="C35">
        <v>64.27</v>
      </c>
      <c r="D35" t="s">
        <v>118</v>
      </c>
    </row>
    <row r="36" spans="1:4" x14ac:dyDescent="0.35">
      <c r="A36" t="s">
        <v>24</v>
      </c>
      <c r="B36" t="s">
        <v>3</v>
      </c>
      <c r="C36">
        <v>5.68</v>
      </c>
      <c r="D36" t="s">
        <v>118</v>
      </c>
    </row>
    <row r="37" spans="1:4" x14ac:dyDescent="0.35">
      <c r="A37" t="s">
        <v>24</v>
      </c>
      <c r="B37" t="s">
        <v>4</v>
      </c>
      <c r="C37">
        <v>-9.7899999999999991</v>
      </c>
      <c r="D37" t="s">
        <v>118</v>
      </c>
    </row>
    <row r="38" spans="1:4" x14ac:dyDescent="0.35">
      <c r="A38" t="s">
        <v>32</v>
      </c>
      <c r="B38" t="s">
        <v>55</v>
      </c>
      <c r="C38">
        <v>-24.48</v>
      </c>
      <c r="D38" t="s">
        <v>118</v>
      </c>
    </row>
    <row r="39" spans="1:4" x14ac:dyDescent="0.35">
      <c r="A39" t="s">
        <v>32</v>
      </c>
      <c r="B39" t="s">
        <v>56</v>
      </c>
      <c r="C39">
        <v>-80.63</v>
      </c>
      <c r="D39" t="s">
        <v>118</v>
      </c>
    </row>
    <row r="40" spans="1:4" x14ac:dyDescent="0.35">
      <c r="A40" t="s">
        <v>32</v>
      </c>
      <c r="B40" t="s">
        <v>3</v>
      </c>
      <c r="C40">
        <v>32</v>
      </c>
      <c r="D40" t="s">
        <v>118</v>
      </c>
    </row>
    <row r="41" spans="1:4" x14ac:dyDescent="0.35">
      <c r="A41" t="s">
        <v>32</v>
      </c>
      <c r="B41" t="s">
        <v>4</v>
      </c>
      <c r="C41">
        <v>-150.56</v>
      </c>
      <c r="D41" t="s">
        <v>118</v>
      </c>
    </row>
    <row r="42" spans="1:4" x14ac:dyDescent="0.35">
      <c r="A42" t="s">
        <v>40</v>
      </c>
      <c r="B42" t="s">
        <v>55</v>
      </c>
      <c r="C42">
        <v>10495.53</v>
      </c>
      <c r="D42" t="s">
        <v>118</v>
      </c>
    </row>
    <row r="43" spans="1:4" x14ac:dyDescent="0.35">
      <c r="A43" t="s">
        <v>40</v>
      </c>
      <c r="B43" t="s">
        <v>56</v>
      </c>
      <c r="C43">
        <v>10967.9</v>
      </c>
      <c r="D43" t="s">
        <v>118</v>
      </c>
    </row>
    <row r="44" spans="1:4" x14ac:dyDescent="0.35">
      <c r="A44" t="s">
        <v>40</v>
      </c>
      <c r="B44" t="s">
        <v>3</v>
      </c>
      <c r="C44">
        <v>11599.65</v>
      </c>
      <c r="D44" t="s">
        <v>118</v>
      </c>
    </row>
    <row r="45" spans="1:4" x14ac:dyDescent="0.35">
      <c r="A45" t="s">
        <v>40</v>
      </c>
      <c r="B45" t="s">
        <v>4</v>
      </c>
      <c r="C45">
        <v>11649.99</v>
      </c>
      <c r="D45" t="s">
        <v>118</v>
      </c>
    </row>
    <row r="46" spans="1:4" x14ac:dyDescent="0.35">
      <c r="A46" t="s">
        <v>27</v>
      </c>
      <c r="B46" t="s">
        <v>55</v>
      </c>
      <c r="C46">
        <v>8577.58</v>
      </c>
      <c r="D46" t="s">
        <v>118</v>
      </c>
    </row>
    <row r="47" spans="1:4" x14ac:dyDescent="0.35">
      <c r="A47" t="s">
        <v>27</v>
      </c>
      <c r="B47" t="s">
        <v>56</v>
      </c>
      <c r="C47">
        <v>9019.35</v>
      </c>
      <c r="D47" t="s">
        <v>118</v>
      </c>
    </row>
    <row r="48" spans="1:4" x14ac:dyDescent="0.35">
      <c r="A48" t="s">
        <v>27</v>
      </c>
      <c r="B48" t="s">
        <v>3</v>
      </c>
      <c r="C48">
        <v>9452.89</v>
      </c>
      <c r="D48" t="s">
        <v>118</v>
      </c>
    </row>
    <row r="49" spans="1:4" x14ac:dyDescent="0.35">
      <c r="A49" t="s">
        <v>27</v>
      </c>
      <c r="B49" t="s">
        <v>4</v>
      </c>
      <c r="C49">
        <v>9413.59</v>
      </c>
      <c r="D49" t="s">
        <v>118</v>
      </c>
    </row>
    <row r="50" spans="1:4" x14ac:dyDescent="0.35">
      <c r="A50" t="s">
        <v>25</v>
      </c>
      <c r="B50" t="s">
        <v>55</v>
      </c>
      <c r="C50">
        <v>8516.02</v>
      </c>
      <c r="D50" t="s">
        <v>118</v>
      </c>
    </row>
    <row r="51" spans="1:4" x14ac:dyDescent="0.35">
      <c r="A51" t="s">
        <v>25</v>
      </c>
      <c r="B51" t="s">
        <v>56</v>
      </c>
      <c r="C51">
        <v>8873.81</v>
      </c>
      <c r="D51" t="s">
        <v>118</v>
      </c>
    </row>
    <row r="52" spans="1:4" x14ac:dyDescent="0.35">
      <c r="A52" t="s">
        <v>25</v>
      </c>
      <c r="B52" t="s">
        <v>3</v>
      </c>
      <c r="C52">
        <v>9392.31</v>
      </c>
      <c r="D52" t="s">
        <v>118</v>
      </c>
    </row>
    <row r="53" spans="1:4" x14ac:dyDescent="0.35">
      <c r="A53" t="s">
        <v>25</v>
      </c>
      <c r="B53" t="s">
        <v>4</v>
      </c>
      <c r="C53">
        <v>9410.2000000000007</v>
      </c>
      <c r="D53" t="s">
        <v>118</v>
      </c>
    </row>
    <row r="54" spans="1:4" x14ac:dyDescent="0.35">
      <c r="A54" t="s">
        <v>21</v>
      </c>
      <c r="B54" t="s">
        <v>55</v>
      </c>
      <c r="C54">
        <v>3632</v>
      </c>
      <c r="D54" t="s">
        <v>118</v>
      </c>
    </row>
    <row r="55" spans="1:4" x14ac:dyDescent="0.35">
      <c r="A55" t="s">
        <v>21</v>
      </c>
      <c r="B55" t="s">
        <v>56</v>
      </c>
      <c r="C55">
        <v>3796</v>
      </c>
      <c r="D55" t="s">
        <v>118</v>
      </c>
    </row>
    <row r="56" spans="1:4" x14ac:dyDescent="0.35">
      <c r="A56" t="s">
        <v>21</v>
      </c>
      <c r="B56" t="s">
        <v>3</v>
      </c>
      <c r="C56">
        <v>4022</v>
      </c>
      <c r="D56" t="s">
        <v>118</v>
      </c>
    </row>
    <row r="57" spans="1:4" x14ac:dyDescent="0.35">
      <c r="A57" t="s">
        <v>21</v>
      </c>
      <c r="B57" t="s">
        <v>4</v>
      </c>
      <c r="C57">
        <v>4028</v>
      </c>
      <c r="D57" t="s">
        <v>118</v>
      </c>
    </row>
    <row r="58" spans="1:4" x14ac:dyDescent="0.35">
      <c r="A58" t="s">
        <v>35</v>
      </c>
      <c r="B58" t="s">
        <v>55</v>
      </c>
      <c r="C58">
        <v>31560.38</v>
      </c>
      <c r="D58" t="s">
        <v>119</v>
      </c>
    </row>
    <row r="59" spans="1:4" x14ac:dyDescent="0.35">
      <c r="A59" t="s">
        <v>35</v>
      </c>
      <c r="B59" t="s">
        <v>56</v>
      </c>
      <c r="C59">
        <v>35935.879999999997</v>
      </c>
      <c r="D59" t="s">
        <v>119</v>
      </c>
    </row>
    <row r="60" spans="1:4" x14ac:dyDescent="0.35">
      <c r="A60" t="s">
        <v>35</v>
      </c>
      <c r="B60" t="s">
        <v>3</v>
      </c>
      <c r="C60">
        <v>37553.65</v>
      </c>
      <c r="D60" t="s">
        <v>119</v>
      </c>
    </row>
    <row r="61" spans="1:4" x14ac:dyDescent="0.35">
      <c r="A61" t="s">
        <v>35</v>
      </c>
      <c r="B61" t="s">
        <v>4</v>
      </c>
      <c r="C61">
        <v>36261.18</v>
      </c>
      <c r="D61" t="s">
        <v>119</v>
      </c>
    </row>
    <row r="62" spans="1:4" x14ac:dyDescent="0.35">
      <c r="A62" t="s">
        <v>37</v>
      </c>
      <c r="B62" t="s">
        <v>55</v>
      </c>
      <c r="C62">
        <v>2299.94</v>
      </c>
      <c r="D62" t="s">
        <v>119</v>
      </c>
    </row>
    <row r="63" spans="1:4" x14ac:dyDescent="0.35">
      <c r="A63" t="s">
        <v>37</v>
      </c>
      <c r="B63" t="s">
        <v>56</v>
      </c>
      <c r="C63">
        <v>2912.03</v>
      </c>
      <c r="D63" t="s">
        <v>119</v>
      </c>
    </row>
    <row r="64" spans="1:4" x14ac:dyDescent="0.35">
      <c r="A64" t="s">
        <v>37</v>
      </c>
      <c r="B64" t="s">
        <v>3</v>
      </c>
      <c r="C64">
        <v>2225.94</v>
      </c>
      <c r="D64" t="s">
        <v>119</v>
      </c>
    </row>
    <row r="65" spans="1:4" x14ac:dyDescent="0.35">
      <c r="A65" t="s">
        <v>37</v>
      </c>
      <c r="B65" t="s">
        <v>4</v>
      </c>
      <c r="C65">
        <v>1794.88</v>
      </c>
      <c r="D65" t="s">
        <v>119</v>
      </c>
    </row>
    <row r="66" spans="1:4" x14ac:dyDescent="0.35">
      <c r="A66" t="s">
        <v>7</v>
      </c>
      <c r="B66" t="s">
        <v>55</v>
      </c>
      <c r="C66">
        <v>17414.060000000001</v>
      </c>
      <c r="D66" t="s">
        <v>119</v>
      </c>
    </row>
    <row r="67" spans="1:4" x14ac:dyDescent="0.35">
      <c r="A67" t="s">
        <v>7</v>
      </c>
      <c r="B67" t="s">
        <v>56</v>
      </c>
      <c r="C67">
        <v>20137.240000000002</v>
      </c>
      <c r="D67" t="s">
        <v>119</v>
      </c>
    </row>
    <row r="68" spans="1:4" x14ac:dyDescent="0.35">
      <c r="A68" t="s">
        <v>7</v>
      </c>
      <c r="B68" t="s">
        <v>3</v>
      </c>
      <c r="C68">
        <v>23260.09</v>
      </c>
      <c r="D68" t="s">
        <v>119</v>
      </c>
    </row>
    <row r="69" spans="1:4" x14ac:dyDescent="0.35">
      <c r="A69" t="s">
        <v>7</v>
      </c>
      <c r="B69" t="s">
        <v>4</v>
      </c>
      <c r="C69">
        <v>21354.86</v>
      </c>
      <c r="D69" t="s">
        <v>119</v>
      </c>
    </row>
    <row r="70" spans="1:4" x14ac:dyDescent="0.35">
      <c r="A70" t="s">
        <v>57</v>
      </c>
      <c r="B70" t="s">
        <v>55</v>
      </c>
      <c r="C70">
        <v>6100.4</v>
      </c>
      <c r="D70" t="s">
        <v>119</v>
      </c>
    </row>
    <row r="71" spans="1:4" x14ac:dyDescent="0.35">
      <c r="A71" t="s">
        <v>57</v>
      </c>
      <c r="B71" t="s">
        <v>56</v>
      </c>
      <c r="C71">
        <v>6529.71</v>
      </c>
      <c r="D71" t="s">
        <v>119</v>
      </c>
    </row>
    <row r="72" spans="1:4" x14ac:dyDescent="0.35">
      <c r="A72" t="s">
        <v>57</v>
      </c>
      <c r="B72" t="s">
        <v>3</v>
      </c>
      <c r="C72">
        <v>6233.76</v>
      </c>
      <c r="D72" t="s">
        <v>119</v>
      </c>
    </row>
    <row r="73" spans="1:4" x14ac:dyDescent="0.35">
      <c r="A73" t="s">
        <v>57</v>
      </c>
      <c r="B73" t="s">
        <v>4</v>
      </c>
      <c r="C73">
        <v>6027.72</v>
      </c>
      <c r="D73" t="s">
        <v>119</v>
      </c>
    </row>
    <row r="74" spans="1:4" x14ac:dyDescent="0.35">
      <c r="A74" t="s">
        <v>19</v>
      </c>
      <c r="B74" t="s">
        <v>55</v>
      </c>
      <c r="C74">
        <v>5537.56</v>
      </c>
      <c r="D74" t="s">
        <v>119</v>
      </c>
    </row>
    <row r="75" spans="1:4" x14ac:dyDescent="0.35">
      <c r="A75" t="s">
        <v>19</v>
      </c>
      <c r="B75" t="s">
        <v>56</v>
      </c>
      <c r="C75">
        <v>6128.08</v>
      </c>
      <c r="D75" t="s">
        <v>119</v>
      </c>
    </row>
    <row r="76" spans="1:4" x14ac:dyDescent="0.35">
      <c r="A76" t="s">
        <v>19</v>
      </c>
      <c r="B76" t="s">
        <v>3</v>
      </c>
      <c r="C76">
        <v>5686.84</v>
      </c>
      <c r="D76" t="s">
        <v>119</v>
      </c>
    </row>
    <row r="77" spans="1:4" x14ac:dyDescent="0.35">
      <c r="A77" t="s">
        <v>19</v>
      </c>
      <c r="B77" t="s">
        <v>4</v>
      </c>
      <c r="C77">
        <v>6839.28</v>
      </c>
      <c r="D77" t="s">
        <v>119</v>
      </c>
    </row>
    <row r="78" spans="1:4" x14ac:dyDescent="0.35">
      <c r="A78" t="s">
        <v>36</v>
      </c>
      <c r="B78" t="s">
        <v>55</v>
      </c>
      <c r="C78">
        <v>208.42</v>
      </c>
      <c r="D78" t="s">
        <v>119</v>
      </c>
    </row>
    <row r="79" spans="1:4" x14ac:dyDescent="0.35">
      <c r="A79" t="s">
        <v>36</v>
      </c>
      <c r="B79" t="s">
        <v>56</v>
      </c>
      <c r="C79">
        <v>228.82</v>
      </c>
      <c r="D79" t="s">
        <v>119</v>
      </c>
    </row>
    <row r="80" spans="1:4" x14ac:dyDescent="0.35">
      <c r="A80" t="s">
        <v>36</v>
      </c>
      <c r="B80" t="s">
        <v>3</v>
      </c>
      <c r="C80">
        <v>147.02000000000001</v>
      </c>
      <c r="D80" t="s">
        <v>119</v>
      </c>
    </row>
    <row r="81" spans="1:4" x14ac:dyDescent="0.35">
      <c r="A81" t="s">
        <v>36</v>
      </c>
      <c r="B81" t="s">
        <v>4</v>
      </c>
      <c r="C81">
        <v>244.44</v>
      </c>
      <c r="D81" t="s">
        <v>119</v>
      </c>
    </row>
    <row r="82" spans="1:4" x14ac:dyDescent="0.35">
      <c r="A82" t="s">
        <v>34</v>
      </c>
      <c r="B82" t="s">
        <v>55</v>
      </c>
      <c r="C82">
        <v>16922.28</v>
      </c>
      <c r="D82" t="s">
        <v>119</v>
      </c>
    </row>
    <row r="83" spans="1:4" x14ac:dyDescent="0.35">
      <c r="A83" t="s">
        <v>34</v>
      </c>
      <c r="B83" t="s">
        <v>56</v>
      </c>
      <c r="C83">
        <v>16737.490000000002</v>
      </c>
      <c r="D83" t="s">
        <v>119</v>
      </c>
    </row>
    <row r="84" spans="1:4" x14ac:dyDescent="0.35">
      <c r="A84" t="s">
        <v>34</v>
      </c>
      <c r="B84" t="s">
        <v>3</v>
      </c>
      <c r="C84">
        <v>17495.41</v>
      </c>
      <c r="D84" t="s">
        <v>119</v>
      </c>
    </row>
    <row r="85" spans="1:4" x14ac:dyDescent="0.35">
      <c r="A85" t="s">
        <v>34</v>
      </c>
      <c r="B85" t="s">
        <v>4</v>
      </c>
      <c r="C85">
        <v>17051.16</v>
      </c>
      <c r="D85" t="s">
        <v>119</v>
      </c>
    </row>
    <row r="86" spans="1:4" x14ac:dyDescent="0.35">
      <c r="A86" t="s">
        <v>33</v>
      </c>
      <c r="B86" t="s">
        <v>55</v>
      </c>
      <c r="C86">
        <v>11903.21</v>
      </c>
      <c r="D86" t="s">
        <v>119</v>
      </c>
    </row>
    <row r="87" spans="1:4" x14ac:dyDescent="0.35">
      <c r="A87" t="s">
        <v>33</v>
      </c>
      <c r="B87" t="s">
        <v>56</v>
      </c>
      <c r="C87">
        <v>12689.65</v>
      </c>
      <c r="D87" t="s">
        <v>119</v>
      </c>
    </row>
    <row r="88" spans="1:4" x14ac:dyDescent="0.35">
      <c r="A88" t="s">
        <v>33</v>
      </c>
      <c r="B88" t="s">
        <v>3</v>
      </c>
      <c r="C88">
        <v>12550.56</v>
      </c>
      <c r="D88" t="s">
        <v>119</v>
      </c>
    </row>
    <row r="89" spans="1:4" x14ac:dyDescent="0.35">
      <c r="A89" t="s">
        <v>33</v>
      </c>
      <c r="B89" t="s">
        <v>4</v>
      </c>
      <c r="C89">
        <v>12648.92</v>
      </c>
      <c r="D89" t="s">
        <v>119</v>
      </c>
    </row>
    <row r="90" spans="1:4" x14ac:dyDescent="0.35">
      <c r="A90" t="s">
        <v>5</v>
      </c>
      <c r="B90" t="s">
        <v>55</v>
      </c>
      <c r="C90">
        <v>57.59</v>
      </c>
      <c r="D90" t="s">
        <v>119</v>
      </c>
    </row>
    <row r="91" spans="1:4" x14ac:dyDescent="0.35">
      <c r="A91" t="s">
        <v>5</v>
      </c>
      <c r="B91" t="s">
        <v>56</v>
      </c>
      <c r="C91">
        <v>55.59</v>
      </c>
      <c r="D91" t="s">
        <v>119</v>
      </c>
    </row>
    <row r="92" spans="1:4" x14ac:dyDescent="0.35">
      <c r="A92" t="s">
        <v>5</v>
      </c>
      <c r="B92" t="s">
        <v>3</v>
      </c>
      <c r="C92">
        <v>53.62</v>
      </c>
      <c r="D92" t="s">
        <v>119</v>
      </c>
    </row>
    <row r="93" spans="1:4" x14ac:dyDescent="0.35">
      <c r="A93" t="s">
        <v>5</v>
      </c>
      <c r="B93" t="s">
        <v>4</v>
      </c>
      <c r="C93">
        <v>51.75</v>
      </c>
      <c r="D93" t="s">
        <v>119</v>
      </c>
    </row>
    <row r="94" spans="1:4" x14ac:dyDescent="0.35">
      <c r="A94" t="s">
        <v>6</v>
      </c>
      <c r="B94" t="s">
        <v>55</v>
      </c>
      <c r="C94">
        <v>742.67</v>
      </c>
      <c r="D94" t="s">
        <v>119</v>
      </c>
    </row>
    <row r="95" spans="1:4" x14ac:dyDescent="0.35">
      <c r="A95" t="s">
        <v>6</v>
      </c>
      <c r="B95" t="s">
        <v>56</v>
      </c>
      <c r="C95">
        <v>831.23</v>
      </c>
      <c r="D95" t="s">
        <v>119</v>
      </c>
    </row>
    <row r="96" spans="1:4" x14ac:dyDescent="0.35">
      <c r="A96" t="s">
        <v>6</v>
      </c>
      <c r="B96" t="s">
        <v>3</v>
      </c>
      <c r="C96">
        <v>1373.19</v>
      </c>
      <c r="D96" t="s">
        <v>119</v>
      </c>
    </row>
    <row r="97" spans="1:4" x14ac:dyDescent="0.35">
      <c r="A97" t="s">
        <v>6</v>
      </c>
      <c r="B97" t="s">
        <v>4</v>
      </c>
      <c r="C97">
        <v>957.07</v>
      </c>
      <c r="D97" t="s">
        <v>119</v>
      </c>
    </row>
    <row r="98" spans="1:4" x14ac:dyDescent="0.35">
      <c r="A98" t="s">
        <v>39</v>
      </c>
      <c r="B98" t="s">
        <v>55</v>
      </c>
      <c r="C98">
        <v>48482.66</v>
      </c>
      <c r="D98" t="s">
        <v>118</v>
      </c>
    </row>
    <row r="99" spans="1:4" x14ac:dyDescent="0.35">
      <c r="A99" t="s">
        <v>39</v>
      </c>
      <c r="B99" t="s">
        <v>56</v>
      </c>
      <c r="C99">
        <v>52673.37</v>
      </c>
      <c r="D99" t="s">
        <v>118</v>
      </c>
    </row>
    <row r="100" spans="1:4" x14ac:dyDescent="0.35">
      <c r="A100" t="s">
        <v>39</v>
      </c>
      <c r="B100" t="s">
        <v>3</v>
      </c>
      <c r="C100">
        <v>55049.06</v>
      </c>
      <c r="D100" t="s">
        <v>118</v>
      </c>
    </row>
    <row r="101" spans="1:4" x14ac:dyDescent="0.35">
      <c r="A101" t="s">
        <v>39</v>
      </c>
      <c r="B101" t="s">
        <v>4</v>
      </c>
      <c r="C101">
        <v>53312.34</v>
      </c>
      <c r="D101" t="s">
        <v>118</v>
      </c>
    </row>
    <row r="102" spans="1:4" x14ac:dyDescent="0.35">
      <c r="A102" t="s">
        <v>31</v>
      </c>
      <c r="B102" t="s">
        <v>55</v>
      </c>
      <c r="C102">
        <v>15666.15</v>
      </c>
      <c r="D102" t="s">
        <v>119</v>
      </c>
    </row>
    <row r="103" spans="1:4" x14ac:dyDescent="0.35">
      <c r="A103" t="s">
        <v>31</v>
      </c>
      <c r="B103" t="s">
        <v>56</v>
      </c>
      <c r="C103">
        <v>17647.63</v>
      </c>
      <c r="D103" t="s">
        <v>119</v>
      </c>
    </row>
    <row r="104" spans="1:4" x14ac:dyDescent="0.35">
      <c r="A104" t="s">
        <v>31</v>
      </c>
      <c r="B104" t="s">
        <v>3</v>
      </c>
      <c r="C104">
        <v>18874.66</v>
      </c>
      <c r="D104" t="s">
        <v>119</v>
      </c>
    </row>
    <row r="105" spans="1:4" x14ac:dyDescent="0.35">
      <c r="A105" t="s">
        <v>31</v>
      </c>
      <c r="B105" t="s">
        <v>4</v>
      </c>
      <c r="C105">
        <v>18829.36</v>
      </c>
      <c r="D105" t="s">
        <v>119</v>
      </c>
    </row>
    <row r="106" spans="1:4" x14ac:dyDescent="0.35">
      <c r="A106" t="s">
        <v>30</v>
      </c>
      <c r="B106" t="s">
        <v>55</v>
      </c>
      <c r="C106">
        <v>15308.42</v>
      </c>
      <c r="D106" t="s">
        <v>119</v>
      </c>
    </row>
    <row r="107" spans="1:4" x14ac:dyDescent="0.35">
      <c r="A107" t="s">
        <v>30</v>
      </c>
      <c r="B107" t="s">
        <v>56</v>
      </c>
      <c r="C107">
        <v>17138.689999999999</v>
      </c>
      <c r="D107" t="s">
        <v>119</v>
      </c>
    </row>
    <row r="108" spans="1:4" x14ac:dyDescent="0.35">
      <c r="A108" t="s">
        <v>30</v>
      </c>
      <c r="B108" t="s">
        <v>3</v>
      </c>
      <c r="C108">
        <v>18459.55</v>
      </c>
      <c r="D108" t="s">
        <v>119</v>
      </c>
    </row>
    <row r="109" spans="1:4" x14ac:dyDescent="0.35">
      <c r="A109" t="s">
        <v>30</v>
      </c>
      <c r="B109" t="s">
        <v>4</v>
      </c>
      <c r="C109">
        <v>18520.29</v>
      </c>
      <c r="D109" t="s">
        <v>119</v>
      </c>
    </row>
    <row r="110" spans="1:4" x14ac:dyDescent="0.35">
      <c r="A110" t="s">
        <v>29</v>
      </c>
      <c r="B110" t="s">
        <v>55</v>
      </c>
      <c r="C110">
        <v>357.72</v>
      </c>
      <c r="D110" t="s">
        <v>119</v>
      </c>
    </row>
    <row r="111" spans="1:4" x14ac:dyDescent="0.35">
      <c r="A111" t="s">
        <v>29</v>
      </c>
      <c r="B111" t="s">
        <v>56</v>
      </c>
      <c r="C111">
        <v>508.94</v>
      </c>
      <c r="D111" t="s">
        <v>119</v>
      </c>
    </row>
    <row r="112" spans="1:4" x14ac:dyDescent="0.35">
      <c r="A112" t="s">
        <v>29</v>
      </c>
      <c r="B112" t="s">
        <v>3</v>
      </c>
      <c r="C112">
        <v>415.11</v>
      </c>
      <c r="D112" t="s">
        <v>119</v>
      </c>
    </row>
    <row r="113" spans="1:4" x14ac:dyDescent="0.35">
      <c r="A113" t="s">
        <v>29</v>
      </c>
      <c r="B113" t="s">
        <v>4</v>
      </c>
      <c r="C113">
        <v>309.07</v>
      </c>
      <c r="D113" t="s">
        <v>119</v>
      </c>
    </row>
    <row r="114" spans="1:4" x14ac:dyDescent="0.35">
      <c r="A114" t="s">
        <v>50</v>
      </c>
      <c r="B114" t="s">
        <v>55</v>
      </c>
      <c r="C114">
        <v>32816.519999999997</v>
      </c>
      <c r="D114" t="s">
        <v>119</v>
      </c>
    </row>
    <row r="115" spans="1:4" x14ac:dyDescent="0.35">
      <c r="A115" t="s">
        <v>50</v>
      </c>
      <c r="B115" t="s">
        <v>56</v>
      </c>
      <c r="C115">
        <v>35025.74</v>
      </c>
      <c r="D115" t="s">
        <v>119</v>
      </c>
    </row>
    <row r="116" spans="1:4" x14ac:dyDescent="0.35">
      <c r="A116" t="s">
        <v>50</v>
      </c>
      <c r="B116" t="s">
        <v>3</v>
      </c>
      <c r="C116">
        <v>36174.400000000001</v>
      </c>
      <c r="D116" t="s">
        <v>119</v>
      </c>
    </row>
    <row r="117" spans="1:4" x14ac:dyDescent="0.35">
      <c r="A117" t="s">
        <v>50</v>
      </c>
      <c r="B117" t="s">
        <v>4</v>
      </c>
      <c r="C117">
        <v>30685.38</v>
      </c>
      <c r="D117" t="s">
        <v>119</v>
      </c>
    </row>
    <row r="118" spans="1:4" x14ac:dyDescent="0.35">
      <c r="A118" t="s">
        <v>51</v>
      </c>
      <c r="B118" t="s">
        <v>55</v>
      </c>
      <c r="C118">
        <v>20899.55</v>
      </c>
      <c r="D118" t="s">
        <v>119</v>
      </c>
    </row>
    <row r="119" spans="1:4" x14ac:dyDescent="0.35">
      <c r="A119" t="s">
        <v>51</v>
      </c>
      <c r="B119" t="s">
        <v>56</v>
      </c>
      <c r="C119">
        <v>20899.55</v>
      </c>
      <c r="D119" t="s">
        <v>119</v>
      </c>
    </row>
    <row r="120" spans="1:4" x14ac:dyDescent="0.35">
      <c r="A120" t="s">
        <v>51</v>
      </c>
      <c r="B120" t="s">
        <v>3</v>
      </c>
      <c r="C120">
        <v>20899.55</v>
      </c>
      <c r="D120" t="s">
        <v>119</v>
      </c>
    </row>
    <row r="121" spans="1:4" x14ac:dyDescent="0.35">
      <c r="A121" t="s">
        <v>51</v>
      </c>
      <c r="B121" t="s">
        <v>4</v>
      </c>
      <c r="C121">
        <v>20899.55</v>
      </c>
      <c r="D121" t="s">
        <v>119</v>
      </c>
    </row>
    <row r="122" spans="1:4" x14ac:dyDescent="0.35">
      <c r="A122" t="s">
        <v>48</v>
      </c>
      <c r="B122" t="s">
        <v>55</v>
      </c>
      <c r="C122">
        <v>34.11</v>
      </c>
      <c r="D122" t="s">
        <v>118</v>
      </c>
    </row>
    <row r="123" spans="1:4" x14ac:dyDescent="0.35">
      <c r="A123" t="s">
        <v>48</v>
      </c>
      <c r="B123" t="s">
        <v>56</v>
      </c>
      <c r="C123">
        <v>34.11</v>
      </c>
      <c r="D123" t="s">
        <v>118</v>
      </c>
    </row>
    <row r="124" spans="1:4" x14ac:dyDescent="0.35">
      <c r="A124" t="s">
        <v>48</v>
      </c>
      <c r="B124" t="s">
        <v>3</v>
      </c>
      <c r="C124">
        <v>34.11</v>
      </c>
      <c r="D124" t="s">
        <v>118</v>
      </c>
    </row>
    <row r="125" spans="1:4" x14ac:dyDescent="0.35">
      <c r="A125" t="s">
        <v>48</v>
      </c>
      <c r="B125" t="s">
        <v>4</v>
      </c>
      <c r="C125">
        <v>34.11</v>
      </c>
      <c r="D125" t="s">
        <v>118</v>
      </c>
    </row>
    <row r="126" spans="1:4" x14ac:dyDescent="0.35">
      <c r="A126" t="s">
        <v>26</v>
      </c>
      <c r="B126" t="s">
        <v>55</v>
      </c>
      <c r="C126">
        <v>3353.47</v>
      </c>
      <c r="D126" t="s">
        <v>119</v>
      </c>
    </row>
    <row r="127" spans="1:4" x14ac:dyDescent="0.35">
      <c r="A127" t="s">
        <v>26</v>
      </c>
      <c r="B127" t="s">
        <v>56</v>
      </c>
      <c r="C127">
        <v>3926.23</v>
      </c>
      <c r="D127" t="s">
        <v>119</v>
      </c>
    </row>
    <row r="128" spans="1:4" x14ac:dyDescent="0.35">
      <c r="A128" t="s">
        <v>26</v>
      </c>
      <c r="B128" t="s">
        <v>3</v>
      </c>
      <c r="C128">
        <v>3471.22</v>
      </c>
      <c r="D128" t="s">
        <v>119</v>
      </c>
    </row>
    <row r="129" spans="1:4" x14ac:dyDescent="0.35">
      <c r="A129" t="s">
        <v>26</v>
      </c>
      <c r="B129" t="s">
        <v>4</v>
      </c>
      <c r="D129" t="s">
        <v>119</v>
      </c>
    </row>
    <row r="130" spans="1:4" x14ac:dyDescent="0.35">
      <c r="A130" t="s">
        <v>22</v>
      </c>
      <c r="B130" t="s">
        <v>55</v>
      </c>
      <c r="C130">
        <v>2967.47</v>
      </c>
      <c r="D130" t="s">
        <v>119</v>
      </c>
    </row>
    <row r="131" spans="1:4" x14ac:dyDescent="0.35">
      <c r="A131" t="s">
        <v>22</v>
      </c>
      <c r="B131" t="s">
        <v>56</v>
      </c>
      <c r="C131">
        <v>3328.93</v>
      </c>
      <c r="D131" t="s">
        <v>119</v>
      </c>
    </row>
    <row r="132" spans="1:4" x14ac:dyDescent="0.35">
      <c r="A132" t="s">
        <v>22</v>
      </c>
      <c r="B132" t="s">
        <v>3</v>
      </c>
      <c r="C132">
        <v>3895.58</v>
      </c>
      <c r="D132" t="s">
        <v>119</v>
      </c>
    </row>
    <row r="133" spans="1:4" x14ac:dyDescent="0.35">
      <c r="A133" t="s">
        <v>22</v>
      </c>
      <c r="B133" t="s">
        <v>4</v>
      </c>
      <c r="D133" t="s">
        <v>119</v>
      </c>
    </row>
    <row r="134" spans="1:4" x14ac:dyDescent="0.35">
      <c r="A134" t="s">
        <v>38</v>
      </c>
      <c r="B134" t="s">
        <v>55</v>
      </c>
      <c r="C134">
        <v>48482.66</v>
      </c>
      <c r="D134" t="s">
        <v>118</v>
      </c>
    </row>
    <row r="135" spans="1:4" x14ac:dyDescent="0.35">
      <c r="A135" t="s">
        <v>38</v>
      </c>
      <c r="B135" t="s">
        <v>56</v>
      </c>
      <c r="C135">
        <v>52673.37</v>
      </c>
      <c r="D135" t="s">
        <v>118</v>
      </c>
    </row>
    <row r="136" spans="1:4" x14ac:dyDescent="0.35">
      <c r="A136" t="s">
        <v>38</v>
      </c>
      <c r="B136" t="s">
        <v>3</v>
      </c>
      <c r="C136">
        <v>55049.06</v>
      </c>
      <c r="D136" t="s">
        <v>118</v>
      </c>
    </row>
    <row r="137" spans="1:4" x14ac:dyDescent="0.35">
      <c r="A137" t="s">
        <v>38</v>
      </c>
      <c r="B137" t="s">
        <v>4</v>
      </c>
      <c r="C137">
        <v>49514.74</v>
      </c>
      <c r="D137" t="s">
        <v>118</v>
      </c>
    </row>
    <row r="138" spans="1:4" x14ac:dyDescent="0.35">
      <c r="A138" t="s">
        <v>49</v>
      </c>
      <c r="B138" t="s">
        <v>55</v>
      </c>
      <c r="C138">
        <v>4.5199999999999996</v>
      </c>
      <c r="D138" t="s">
        <v>118</v>
      </c>
    </row>
    <row r="139" spans="1:4" x14ac:dyDescent="0.35">
      <c r="A139" t="s">
        <v>49</v>
      </c>
      <c r="B139" t="s">
        <v>56</v>
      </c>
      <c r="C139">
        <v>3.8</v>
      </c>
      <c r="D139" t="s">
        <v>118</v>
      </c>
    </row>
    <row r="140" spans="1:4" x14ac:dyDescent="0.35">
      <c r="A140" t="s">
        <v>49</v>
      </c>
      <c r="B140" t="s">
        <v>3</v>
      </c>
      <c r="C140">
        <v>4.0199999999999996</v>
      </c>
      <c r="D140" t="s">
        <v>118</v>
      </c>
    </row>
    <row r="141" spans="1:4" x14ac:dyDescent="0.35">
      <c r="A141" t="s">
        <v>49</v>
      </c>
      <c r="B141" t="s">
        <v>4</v>
      </c>
      <c r="C141">
        <v>4.03</v>
      </c>
      <c r="D141" t="s">
        <v>118</v>
      </c>
    </row>
    <row r="142" spans="1:4" x14ac:dyDescent="0.35">
      <c r="A142" t="s">
        <v>17</v>
      </c>
      <c r="B142" t="s">
        <v>55</v>
      </c>
      <c r="C142">
        <v>17.149999999999999</v>
      </c>
      <c r="D142" t="s">
        <v>118</v>
      </c>
    </row>
    <row r="143" spans="1:4" x14ac:dyDescent="0.35">
      <c r="A143" t="s">
        <v>17</v>
      </c>
      <c r="B143" t="s">
        <v>56</v>
      </c>
      <c r="C143">
        <v>15.17</v>
      </c>
      <c r="D143" t="s">
        <v>118</v>
      </c>
    </row>
    <row r="144" spans="1:4" x14ac:dyDescent="0.35">
      <c r="A144" t="s">
        <v>17</v>
      </c>
      <c r="B144" t="s">
        <v>3</v>
      </c>
      <c r="C144">
        <v>15.44</v>
      </c>
      <c r="D144" t="s">
        <v>118</v>
      </c>
    </row>
    <row r="145" spans="1:4" x14ac:dyDescent="0.35">
      <c r="A145" t="s">
        <v>17</v>
      </c>
      <c r="B145" t="s">
        <v>4</v>
      </c>
      <c r="C145">
        <v>14.68</v>
      </c>
      <c r="D145" t="s">
        <v>118</v>
      </c>
    </row>
    <row r="146" spans="1:4" x14ac:dyDescent="0.35">
      <c r="A146" t="s">
        <v>13</v>
      </c>
      <c r="B146" t="s">
        <v>55</v>
      </c>
      <c r="C146">
        <v>19.12</v>
      </c>
      <c r="D146" t="s">
        <v>120</v>
      </c>
    </row>
    <row r="147" spans="1:4" x14ac:dyDescent="0.35">
      <c r="A147" t="s">
        <v>13</v>
      </c>
      <c r="B147" t="s">
        <v>56</v>
      </c>
      <c r="C147">
        <v>17.89</v>
      </c>
      <c r="D147" t="s">
        <v>120</v>
      </c>
    </row>
    <row r="148" spans="1:4" x14ac:dyDescent="0.35">
      <c r="A148" t="s">
        <v>13</v>
      </c>
      <c r="B148" t="s">
        <v>3</v>
      </c>
      <c r="C148">
        <v>15.67</v>
      </c>
      <c r="D148" t="s">
        <v>120</v>
      </c>
    </row>
    <row r="149" spans="1:4" x14ac:dyDescent="0.35">
      <c r="A149" t="s">
        <v>13</v>
      </c>
      <c r="B149" t="s">
        <v>4</v>
      </c>
      <c r="C149">
        <v>15.14</v>
      </c>
      <c r="D149" t="s">
        <v>120</v>
      </c>
    </row>
    <row r="150" spans="1:4" x14ac:dyDescent="0.35">
      <c r="A150" t="s">
        <v>12</v>
      </c>
      <c r="B150" t="s">
        <v>55</v>
      </c>
      <c r="D150" t="s">
        <v>120</v>
      </c>
    </row>
    <row r="151" spans="1:4" x14ac:dyDescent="0.35">
      <c r="A151" t="s">
        <v>12</v>
      </c>
      <c r="B151" t="s">
        <v>56</v>
      </c>
      <c r="D151" t="s">
        <v>120</v>
      </c>
    </row>
    <row r="152" spans="1:4" x14ac:dyDescent="0.35">
      <c r="A152" t="s">
        <v>12</v>
      </c>
      <c r="B152" t="s">
        <v>3</v>
      </c>
      <c r="D152" t="s">
        <v>120</v>
      </c>
    </row>
    <row r="153" spans="1:4" x14ac:dyDescent="0.35">
      <c r="A153" t="s">
        <v>12</v>
      </c>
      <c r="B153" t="s">
        <v>4</v>
      </c>
      <c r="D153" t="s">
        <v>120</v>
      </c>
    </row>
    <row r="154" spans="1:4" x14ac:dyDescent="0.35">
      <c r="A154" t="s">
        <v>44</v>
      </c>
      <c r="B154" t="s">
        <v>55</v>
      </c>
      <c r="C154">
        <v>43.14</v>
      </c>
      <c r="D154" t="s">
        <v>120</v>
      </c>
    </row>
    <row r="155" spans="1:4" x14ac:dyDescent="0.35">
      <c r="A155" t="s">
        <v>44</v>
      </c>
      <c r="B155" t="s">
        <v>56</v>
      </c>
      <c r="C155">
        <v>40.58</v>
      </c>
      <c r="D155" t="s">
        <v>120</v>
      </c>
    </row>
    <row r="156" spans="1:4" x14ac:dyDescent="0.35">
      <c r="A156" t="s">
        <v>44</v>
      </c>
      <c r="B156" t="s">
        <v>3</v>
      </c>
      <c r="C156">
        <v>41.39</v>
      </c>
      <c r="D156" t="s">
        <v>120</v>
      </c>
    </row>
    <row r="157" spans="1:4" x14ac:dyDescent="0.35">
      <c r="A157" t="s">
        <v>44</v>
      </c>
      <c r="B157" t="s">
        <v>4</v>
      </c>
      <c r="D157" t="s">
        <v>120</v>
      </c>
    </row>
    <row r="158" spans="1:4" x14ac:dyDescent="0.35">
      <c r="A158" t="s">
        <v>46</v>
      </c>
      <c r="B158" t="s">
        <v>55</v>
      </c>
      <c r="C158">
        <v>43.14</v>
      </c>
      <c r="D158" t="s">
        <v>120</v>
      </c>
    </row>
    <row r="159" spans="1:4" x14ac:dyDescent="0.35">
      <c r="A159" t="s">
        <v>46</v>
      </c>
      <c r="B159" t="s">
        <v>56</v>
      </c>
      <c r="C159">
        <v>14.67</v>
      </c>
      <c r="D159" t="s">
        <v>120</v>
      </c>
    </row>
    <row r="160" spans="1:4" x14ac:dyDescent="0.35">
      <c r="A160" t="s">
        <v>46</v>
      </c>
      <c r="B160" t="s">
        <v>3</v>
      </c>
      <c r="C160">
        <v>15.19</v>
      </c>
      <c r="D160" t="s">
        <v>120</v>
      </c>
    </row>
    <row r="161" spans="1:4" x14ac:dyDescent="0.35">
      <c r="A161" t="s">
        <v>46</v>
      </c>
      <c r="B161" t="s">
        <v>4</v>
      </c>
      <c r="D161" t="s">
        <v>120</v>
      </c>
    </row>
    <row r="162" spans="1:4" x14ac:dyDescent="0.35">
      <c r="A162" t="s">
        <v>45</v>
      </c>
      <c r="B162" t="s">
        <v>55</v>
      </c>
      <c r="C162">
        <v>29.38</v>
      </c>
      <c r="D162" t="s">
        <v>120</v>
      </c>
    </row>
    <row r="163" spans="1:4" x14ac:dyDescent="0.35">
      <c r="A163" t="s">
        <v>45</v>
      </c>
      <c r="B163" t="s">
        <v>56</v>
      </c>
      <c r="C163">
        <v>25.34</v>
      </c>
      <c r="D163" t="s">
        <v>120</v>
      </c>
    </row>
    <row r="164" spans="1:4" x14ac:dyDescent="0.35">
      <c r="A164" t="s">
        <v>45</v>
      </c>
      <c r="B164" t="s">
        <v>3</v>
      </c>
      <c r="C164">
        <v>25.96</v>
      </c>
      <c r="D164" t="s">
        <v>120</v>
      </c>
    </row>
    <row r="165" spans="1:4" x14ac:dyDescent="0.35">
      <c r="A165" t="s">
        <v>45</v>
      </c>
      <c r="B165" t="s">
        <v>4</v>
      </c>
      <c r="C165">
        <v>30.67</v>
      </c>
      <c r="D165" t="s">
        <v>120</v>
      </c>
    </row>
    <row r="166" spans="1:4" x14ac:dyDescent="0.35">
      <c r="A166" t="s">
        <v>47</v>
      </c>
      <c r="B166" t="s">
        <v>55</v>
      </c>
      <c r="C166">
        <v>19.75</v>
      </c>
      <c r="D166" t="s">
        <v>120</v>
      </c>
    </row>
    <row r="167" spans="1:4" x14ac:dyDescent="0.35">
      <c r="A167" t="s">
        <v>47</v>
      </c>
      <c r="B167" t="s">
        <v>56</v>
      </c>
      <c r="C167">
        <v>16.850000000000001</v>
      </c>
      <c r="D167" t="s">
        <v>120</v>
      </c>
    </row>
    <row r="168" spans="1:4" x14ac:dyDescent="0.35">
      <c r="A168" t="s">
        <v>47</v>
      </c>
      <c r="B168" t="s">
        <v>3</v>
      </c>
      <c r="C168">
        <v>17.059999999999999</v>
      </c>
      <c r="D168" t="s">
        <v>120</v>
      </c>
    </row>
    <row r="169" spans="1:4" x14ac:dyDescent="0.35">
      <c r="A169" t="s">
        <v>47</v>
      </c>
      <c r="B169" t="s">
        <v>4</v>
      </c>
      <c r="C169">
        <v>17.649999999999999</v>
      </c>
      <c r="D169" t="s">
        <v>120</v>
      </c>
    </row>
    <row r="170" spans="1:4" x14ac:dyDescent="0.35">
      <c r="A170" t="s">
        <v>43</v>
      </c>
      <c r="B170" t="s">
        <v>55</v>
      </c>
      <c r="D170" t="s">
        <v>120</v>
      </c>
    </row>
    <row r="171" spans="1:4" x14ac:dyDescent="0.35">
      <c r="A171" t="s">
        <v>43</v>
      </c>
      <c r="B171" t="s">
        <v>56</v>
      </c>
      <c r="D171" t="s">
        <v>120</v>
      </c>
    </row>
    <row r="172" spans="1:4" x14ac:dyDescent="0.35">
      <c r="A172" t="s">
        <v>43</v>
      </c>
      <c r="B172" t="s">
        <v>3</v>
      </c>
      <c r="D172" t="s">
        <v>120</v>
      </c>
    </row>
    <row r="173" spans="1:4" x14ac:dyDescent="0.35">
      <c r="A173" t="s">
        <v>43</v>
      </c>
      <c r="B173" t="s">
        <v>4</v>
      </c>
      <c r="D173" t="s">
        <v>120</v>
      </c>
    </row>
    <row r="174" spans="1:4" x14ac:dyDescent="0.35">
      <c r="A174" t="s">
        <v>20</v>
      </c>
      <c r="B174" t="s">
        <v>55</v>
      </c>
      <c r="D174" t="s">
        <v>120</v>
      </c>
    </row>
    <row r="175" spans="1:4" x14ac:dyDescent="0.35">
      <c r="A175" t="s">
        <v>20</v>
      </c>
      <c r="B175" t="s">
        <v>56</v>
      </c>
      <c r="D175" t="s">
        <v>120</v>
      </c>
    </row>
    <row r="176" spans="1:4" x14ac:dyDescent="0.35">
      <c r="A176" t="s">
        <v>20</v>
      </c>
      <c r="B176" t="s">
        <v>3</v>
      </c>
      <c r="D176" t="s">
        <v>120</v>
      </c>
    </row>
    <row r="177" spans="1:4" x14ac:dyDescent="0.35">
      <c r="A177" t="s">
        <v>20</v>
      </c>
      <c r="B177" t="s">
        <v>4</v>
      </c>
      <c r="D177" t="s">
        <v>120</v>
      </c>
    </row>
    <row r="178" spans="1:4" x14ac:dyDescent="0.35">
      <c r="A178" t="s">
        <v>41</v>
      </c>
      <c r="B178" t="s">
        <v>55</v>
      </c>
      <c r="C178">
        <v>32.78</v>
      </c>
      <c r="D178" t="s">
        <v>120</v>
      </c>
    </row>
    <row r="179" spans="1:4" x14ac:dyDescent="0.35">
      <c r="A179" t="s">
        <v>41</v>
      </c>
      <c r="B179" t="s">
        <v>56</v>
      </c>
      <c r="C179">
        <v>33.5</v>
      </c>
      <c r="D179" t="s">
        <v>120</v>
      </c>
    </row>
    <row r="180" spans="1:4" x14ac:dyDescent="0.35">
      <c r="A180" t="s">
        <v>41</v>
      </c>
      <c r="B180" t="s">
        <v>3</v>
      </c>
      <c r="C180">
        <v>34.29</v>
      </c>
      <c r="D180" t="s">
        <v>120</v>
      </c>
    </row>
    <row r="181" spans="1:4" x14ac:dyDescent="0.35">
      <c r="A181" t="s">
        <v>41</v>
      </c>
      <c r="B181" t="s">
        <v>4</v>
      </c>
      <c r="C181">
        <v>35.32</v>
      </c>
      <c r="D181" t="s">
        <v>120</v>
      </c>
    </row>
    <row r="182" spans="1:4" x14ac:dyDescent="0.35">
      <c r="A182" t="s">
        <v>42</v>
      </c>
      <c r="B182" t="s">
        <v>55</v>
      </c>
      <c r="D182" t="s">
        <v>120</v>
      </c>
    </row>
    <row r="183" spans="1:4" x14ac:dyDescent="0.35">
      <c r="A183" t="s">
        <v>42</v>
      </c>
      <c r="B183" t="s">
        <v>56</v>
      </c>
      <c r="D183" t="s">
        <v>120</v>
      </c>
    </row>
    <row r="184" spans="1:4" x14ac:dyDescent="0.35">
      <c r="A184" t="s">
        <v>42</v>
      </c>
      <c r="B184" t="s">
        <v>3</v>
      </c>
      <c r="D184" t="s">
        <v>120</v>
      </c>
    </row>
    <row r="185" spans="1:4" x14ac:dyDescent="0.35">
      <c r="A185" t="s">
        <v>42</v>
      </c>
      <c r="B185" t="s">
        <v>4</v>
      </c>
      <c r="D185" t="s">
        <v>120</v>
      </c>
    </row>
  </sheetData>
  <phoneticPr fontId="2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E79A-62AA-457D-91F0-535D94BA8FC4}">
  <dimension ref="A1:E49"/>
  <sheetViews>
    <sheetView showGridLines="0" workbookViewId="0">
      <selection activeCell="C9" sqref="C9"/>
    </sheetView>
  </sheetViews>
  <sheetFormatPr defaultRowHeight="14.5" x14ac:dyDescent="0.35"/>
  <cols>
    <col min="1" max="1" width="34.90625" customWidth="1"/>
    <col min="2" max="5" width="19.81640625" customWidth="1"/>
  </cols>
  <sheetData>
    <row r="1" spans="1:5" ht="15" thickBot="1" x14ac:dyDescent="0.4">
      <c r="A1" s="20" t="s">
        <v>52</v>
      </c>
      <c r="B1" s="21" t="s">
        <v>55</v>
      </c>
      <c r="C1" s="21" t="s">
        <v>56</v>
      </c>
      <c r="D1" s="21" t="s">
        <v>3</v>
      </c>
      <c r="E1" s="22" t="s">
        <v>4</v>
      </c>
    </row>
    <row r="2" spans="1:5" ht="29" thickBot="1" x14ac:dyDescent="0.4">
      <c r="A2" s="8" t="s">
        <v>16</v>
      </c>
      <c r="B2" s="2" t="s">
        <v>121</v>
      </c>
      <c r="C2" s="2" t="s">
        <v>122</v>
      </c>
      <c r="D2" s="2" t="s">
        <v>123</v>
      </c>
      <c r="E2" s="13" t="s">
        <v>124</v>
      </c>
    </row>
    <row r="3" spans="1:5" ht="15" thickBot="1" x14ac:dyDescent="0.4">
      <c r="A3" s="9" t="s">
        <v>18</v>
      </c>
      <c r="B3" s="3" t="s">
        <v>125</v>
      </c>
      <c r="C3" s="3" t="s">
        <v>126</v>
      </c>
      <c r="D3" s="3" t="s">
        <v>127</v>
      </c>
      <c r="E3" s="14" t="s">
        <v>128</v>
      </c>
    </row>
    <row r="4" spans="1:5" ht="29" thickBot="1" x14ac:dyDescent="0.4">
      <c r="A4" s="8" t="s">
        <v>23</v>
      </c>
      <c r="B4" s="2" t="s">
        <v>129</v>
      </c>
      <c r="C4" s="2" t="s">
        <v>130</v>
      </c>
      <c r="D4" s="2" t="s">
        <v>131</v>
      </c>
      <c r="E4" s="13" t="s">
        <v>132</v>
      </c>
    </row>
    <row r="5" spans="1:5" ht="15" thickBot="1" x14ac:dyDescent="0.4">
      <c r="A5" s="9" t="s">
        <v>15</v>
      </c>
      <c r="B5" s="3" t="s">
        <v>133</v>
      </c>
      <c r="C5" s="3" t="s">
        <v>134</v>
      </c>
      <c r="D5" s="3" t="s">
        <v>135</v>
      </c>
      <c r="E5" s="14" t="s">
        <v>136</v>
      </c>
    </row>
    <row r="6" spans="1:5" ht="15" thickBot="1" x14ac:dyDescent="0.4">
      <c r="A6" s="10" t="s">
        <v>11</v>
      </c>
      <c r="B6" s="4" t="s">
        <v>58</v>
      </c>
      <c r="C6" s="4" t="s">
        <v>59</v>
      </c>
      <c r="D6" s="4" t="s">
        <v>60</v>
      </c>
      <c r="E6" s="15" t="s">
        <v>61</v>
      </c>
    </row>
    <row r="7" spans="1:5" ht="15" thickBot="1" x14ac:dyDescent="0.4">
      <c r="A7" s="9" t="s">
        <v>9</v>
      </c>
      <c r="B7" s="3" t="s">
        <v>137</v>
      </c>
      <c r="C7" s="3" t="s">
        <v>138</v>
      </c>
      <c r="D7" s="3" t="s">
        <v>139</v>
      </c>
      <c r="E7" s="14" t="s">
        <v>140</v>
      </c>
    </row>
    <row r="8" spans="1:5" ht="15" thickBot="1" x14ac:dyDescent="0.4">
      <c r="A8" s="10" t="s">
        <v>10</v>
      </c>
      <c r="B8" s="4" t="s">
        <v>141</v>
      </c>
      <c r="C8" s="4" t="s">
        <v>142</v>
      </c>
      <c r="D8" s="4" t="s">
        <v>143</v>
      </c>
      <c r="E8" s="15" t="s">
        <v>144</v>
      </c>
    </row>
    <row r="9" spans="1:5" ht="29" thickBot="1" x14ac:dyDescent="0.4">
      <c r="A9" s="8" t="s">
        <v>28</v>
      </c>
      <c r="B9" s="2" t="s">
        <v>145</v>
      </c>
      <c r="C9" s="2" t="s">
        <v>146</v>
      </c>
      <c r="D9" s="2" t="s">
        <v>147</v>
      </c>
      <c r="E9" s="13" t="s">
        <v>148</v>
      </c>
    </row>
    <row r="10" spans="1:5" ht="15" thickBot="1" x14ac:dyDescent="0.4">
      <c r="A10" s="10" t="s">
        <v>24</v>
      </c>
      <c r="B10" s="4" t="s">
        <v>62</v>
      </c>
      <c r="C10" s="4" t="s">
        <v>63</v>
      </c>
      <c r="D10" s="4" t="s">
        <v>64</v>
      </c>
      <c r="E10" s="16" t="s">
        <v>65</v>
      </c>
    </row>
    <row r="11" spans="1:5" ht="29" thickBot="1" x14ac:dyDescent="0.4">
      <c r="A11" s="9" t="s">
        <v>32</v>
      </c>
      <c r="B11" s="5" t="s">
        <v>66</v>
      </c>
      <c r="C11" s="5" t="s">
        <v>67</v>
      </c>
      <c r="D11" s="3" t="s">
        <v>68</v>
      </c>
      <c r="E11" s="17" t="s">
        <v>69</v>
      </c>
    </row>
    <row r="12" spans="1:5" ht="15" thickBot="1" x14ac:dyDescent="0.4">
      <c r="A12" s="8" t="s">
        <v>40</v>
      </c>
      <c r="B12" s="2" t="s">
        <v>149</v>
      </c>
      <c r="C12" s="2" t="s">
        <v>150</v>
      </c>
      <c r="D12" s="2" t="s">
        <v>151</v>
      </c>
      <c r="E12" s="13" t="s">
        <v>152</v>
      </c>
    </row>
    <row r="13" spans="1:5" ht="29" thickBot="1" x14ac:dyDescent="0.4">
      <c r="A13" s="8" t="s">
        <v>27</v>
      </c>
      <c r="B13" s="2" t="s">
        <v>153</v>
      </c>
      <c r="C13" s="2" t="s">
        <v>154</v>
      </c>
      <c r="D13" s="2" t="s">
        <v>155</v>
      </c>
      <c r="E13" s="13" t="s">
        <v>156</v>
      </c>
    </row>
    <row r="14" spans="1:5" ht="29" thickBot="1" x14ac:dyDescent="0.4">
      <c r="A14" s="8" t="s">
        <v>25</v>
      </c>
      <c r="B14" s="2" t="s">
        <v>157</v>
      </c>
      <c r="C14" s="2" t="s">
        <v>158</v>
      </c>
      <c r="D14" s="2" t="s">
        <v>159</v>
      </c>
      <c r="E14" s="13" t="s">
        <v>160</v>
      </c>
    </row>
    <row r="15" spans="1:5" ht="15" thickBot="1" x14ac:dyDescent="0.4">
      <c r="A15" s="9" t="s">
        <v>21</v>
      </c>
      <c r="B15" s="3" t="s">
        <v>161</v>
      </c>
      <c r="C15" s="3" t="s">
        <v>162</v>
      </c>
      <c r="D15" s="3" t="s">
        <v>163</v>
      </c>
      <c r="E15" s="14" t="s">
        <v>164</v>
      </c>
    </row>
    <row r="16" spans="1:5" ht="15" thickBot="1" x14ac:dyDescent="0.4">
      <c r="A16" s="11" t="s">
        <v>8</v>
      </c>
      <c r="B16" s="6" t="s">
        <v>55</v>
      </c>
      <c r="C16" s="6" t="s">
        <v>56</v>
      </c>
      <c r="D16" s="6" t="s">
        <v>3</v>
      </c>
      <c r="E16" s="18" t="s">
        <v>4</v>
      </c>
    </row>
    <row r="17" spans="1:5" ht="15" thickBot="1" x14ac:dyDescent="0.4">
      <c r="A17" s="8" t="s">
        <v>35</v>
      </c>
      <c r="B17" s="2" t="s">
        <v>165</v>
      </c>
      <c r="C17" s="2" t="s">
        <v>166</v>
      </c>
      <c r="D17" s="2" t="s">
        <v>167</v>
      </c>
      <c r="E17" s="13" t="s">
        <v>168</v>
      </c>
    </row>
    <row r="18" spans="1:5" ht="15" thickBot="1" x14ac:dyDescent="0.4">
      <c r="A18" s="10" t="s">
        <v>37</v>
      </c>
      <c r="B18" s="4" t="s">
        <v>169</v>
      </c>
      <c r="C18" s="4" t="s">
        <v>170</v>
      </c>
      <c r="D18" s="4" t="s">
        <v>171</v>
      </c>
      <c r="E18" s="15" t="s">
        <v>172</v>
      </c>
    </row>
    <row r="19" spans="1:5" ht="15" thickBot="1" x14ac:dyDescent="0.4">
      <c r="A19" s="9" t="s">
        <v>7</v>
      </c>
      <c r="B19" s="3" t="s">
        <v>173</v>
      </c>
      <c r="C19" s="3" t="s">
        <v>174</v>
      </c>
      <c r="D19" s="3" t="s">
        <v>175</v>
      </c>
      <c r="E19" s="14" t="s">
        <v>176</v>
      </c>
    </row>
    <row r="20" spans="1:5" ht="15" thickBot="1" x14ac:dyDescent="0.4">
      <c r="A20" s="10" t="s">
        <v>57</v>
      </c>
      <c r="B20" s="4" t="s">
        <v>177</v>
      </c>
      <c r="C20" s="4" t="s">
        <v>178</v>
      </c>
      <c r="D20" s="4" t="s">
        <v>179</v>
      </c>
      <c r="E20" s="15" t="s">
        <v>180</v>
      </c>
    </row>
    <row r="21" spans="1:5" ht="15" thickBot="1" x14ac:dyDescent="0.4">
      <c r="A21" s="9" t="s">
        <v>19</v>
      </c>
      <c r="B21" s="3" t="s">
        <v>181</v>
      </c>
      <c r="C21" s="3" t="s">
        <v>182</v>
      </c>
      <c r="D21" s="3" t="s">
        <v>183</v>
      </c>
      <c r="E21" s="14" t="s">
        <v>184</v>
      </c>
    </row>
    <row r="22" spans="1:5" ht="15" thickBot="1" x14ac:dyDescent="0.4">
      <c r="A22" s="10" t="s">
        <v>36</v>
      </c>
      <c r="B22" s="4" t="s">
        <v>70</v>
      </c>
      <c r="C22" s="4" t="s">
        <v>71</v>
      </c>
      <c r="D22" s="4" t="s">
        <v>72</v>
      </c>
      <c r="E22" s="15" t="s">
        <v>73</v>
      </c>
    </row>
    <row r="23" spans="1:5" ht="15" thickBot="1" x14ac:dyDescent="0.4">
      <c r="A23" s="8" t="s">
        <v>34</v>
      </c>
      <c r="B23" s="2" t="s">
        <v>185</v>
      </c>
      <c r="C23" s="2" t="s">
        <v>186</v>
      </c>
      <c r="D23" s="2" t="s">
        <v>187</v>
      </c>
      <c r="E23" s="13" t="s">
        <v>188</v>
      </c>
    </row>
    <row r="24" spans="1:5" ht="15" thickBot="1" x14ac:dyDescent="0.4">
      <c r="A24" s="10" t="s">
        <v>33</v>
      </c>
      <c r="B24" s="4" t="s">
        <v>189</v>
      </c>
      <c r="C24" s="4" t="s">
        <v>190</v>
      </c>
      <c r="D24" s="4" t="s">
        <v>191</v>
      </c>
      <c r="E24" s="15" t="s">
        <v>192</v>
      </c>
    </row>
    <row r="25" spans="1:5" ht="15" thickBot="1" x14ac:dyDescent="0.4">
      <c r="A25" s="9" t="s">
        <v>5</v>
      </c>
      <c r="B25" s="3" t="s">
        <v>74</v>
      </c>
      <c r="C25" s="3" t="s">
        <v>75</v>
      </c>
      <c r="D25" s="3" t="s">
        <v>76</v>
      </c>
      <c r="E25" s="14" t="s">
        <v>77</v>
      </c>
    </row>
    <row r="26" spans="1:5" ht="15" thickBot="1" x14ac:dyDescent="0.4">
      <c r="A26" s="10" t="s">
        <v>6</v>
      </c>
      <c r="B26" s="4" t="s">
        <v>78</v>
      </c>
      <c r="C26" s="4" t="s">
        <v>79</v>
      </c>
      <c r="D26" s="4" t="s">
        <v>193</v>
      </c>
      <c r="E26" s="15" t="s">
        <v>80</v>
      </c>
    </row>
    <row r="27" spans="1:5" ht="15" thickBot="1" x14ac:dyDescent="0.4">
      <c r="A27" s="8" t="s">
        <v>39</v>
      </c>
      <c r="B27" s="2" t="s">
        <v>194</v>
      </c>
      <c r="C27" s="2" t="s">
        <v>195</v>
      </c>
      <c r="D27" s="2" t="s">
        <v>196</v>
      </c>
      <c r="E27" s="13" t="s">
        <v>197</v>
      </c>
    </row>
    <row r="28" spans="1:5" ht="15" thickBot="1" x14ac:dyDescent="0.4">
      <c r="A28" s="8" t="s">
        <v>31</v>
      </c>
      <c r="B28" s="2" t="s">
        <v>198</v>
      </c>
      <c r="C28" s="2" t="s">
        <v>199</v>
      </c>
      <c r="D28" s="2" t="s">
        <v>200</v>
      </c>
      <c r="E28" s="13" t="s">
        <v>201</v>
      </c>
    </row>
    <row r="29" spans="1:5" ht="15" thickBot="1" x14ac:dyDescent="0.4">
      <c r="A29" s="9" t="s">
        <v>30</v>
      </c>
      <c r="B29" s="3" t="s">
        <v>202</v>
      </c>
      <c r="C29" s="3" t="s">
        <v>203</v>
      </c>
      <c r="D29" s="3" t="s">
        <v>204</v>
      </c>
      <c r="E29" s="14" t="s">
        <v>205</v>
      </c>
    </row>
    <row r="30" spans="1:5" ht="15" thickBot="1" x14ac:dyDescent="0.4">
      <c r="A30" s="10" t="s">
        <v>29</v>
      </c>
      <c r="B30" s="4" t="s">
        <v>81</v>
      </c>
      <c r="C30" s="4" t="s">
        <v>82</v>
      </c>
      <c r="D30" s="4" t="s">
        <v>83</v>
      </c>
      <c r="E30" s="15" t="s">
        <v>84</v>
      </c>
    </row>
    <row r="31" spans="1:5" ht="15" thickBot="1" x14ac:dyDescent="0.4">
      <c r="A31" s="8" t="s">
        <v>50</v>
      </c>
      <c r="B31" s="2" t="s">
        <v>206</v>
      </c>
      <c r="C31" s="2" t="s">
        <v>207</v>
      </c>
      <c r="D31" s="2" t="s">
        <v>208</v>
      </c>
      <c r="E31" s="13" t="s">
        <v>209</v>
      </c>
    </row>
    <row r="32" spans="1:5" ht="15" thickBot="1" x14ac:dyDescent="0.4">
      <c r="A32" s="10" t="s">
        <v>51</v>
      </c>
      <c r="B32" s="4" t="s">
        <v>210</v>
      </c>
      <c r="C32" s="4" t="s">
        <v>210</v>
      </c>
      <c r="D32" s="4" t="s">
        <v>210</v>
      </c>
      <c r="E32" s="15" t="s">
        <v>210</v>
      </c>
    </row>
    <row r="33" spans="1:5" ht="15" thickBot="1" x14ac:dyDescent="0.4">
      <c r="A33" s="9" t="s">
        <v>48</v>
      </c>
      <c r="B33" s="3" t="s">
        <v>85</v>
      </c>
      <c r="C33" s="3" t="s">
        <v>85</v>
      </c>
      <c r="D33" s="3" t="s">
        <v>85</v>
      </c>
      <c r="E33" s="14" t="s">
        <v>85</v>
      </c>
    </row>
    <row r="34" spans="1:5" ht="15" thickBot="1" x14ac:dyDescent="0.4">
      <c r="A34" s="10" t="s">
        <v>26</v>
      </c>
      <c r="B34" s="4" t="s">
        <v>211</v>
      </c>
      <c r="C34" s="4" t="s">
        <v>212</v>
      </c>
      <c r="D34" s="4" t="s">
        <v>213</v>
      </c>
      <c r="E34" s="15" t="s">
        <v>86</v>
      </c>
    </row>
    <row r="35" spans="1:5" ht="15" thickBot="1" x14ac:dyDescent="0.4">
      <c r="A35" s="8" t="s">
        <v>22</v>
      </c>
      <c r="B35" s="2" t="s">
        <v>214</v>
      </c>
      <c r="C35" s="2" t="s">
        <v>215</v>
      </c>
      <c r="D35" s="2" t="s">
        <v>216</v>
      </c>
      <c r="E35" s="13" t="s">
        <v>86</v>
      </c>
    </row>
    <row r="36" spans="1:5" ht="15" thickBot="1" x14ac:dyDescent="0.4">
      <c r="A36" s="8" t="s">
        <v>38</v>
      </c>
      <c r="B36" s="2" t="s">
        <v>194</v>
      </c>
      <c r="C36" s="2" t="s">
        <v>195</v>
      </c>
      <c r="D36" s="2" t="s">
        <v>196</v>
      </c>
      <c r="E36" s="13" t="s">
        <v>217</v>
      </c>
    </row>
    <row r="37" spans="1:5" ht="15" thickBot="1" x14ac:dyDescent="0.4">
      <c r="A37" s="12" t="s">
        <v>14</v>
      </c>
      <c r="B37" s="7">
        <v>2021</v>
      </c>
      <c r="C37" s="7">
        <v>2023</v>
      </c>
      <c r="D37" s="7">
        <v>2024</v>
      </c>
      <c r="E37" s="19">
        <v>2025</v>
      </c>
    </row>
    <row r="38" spans="1:5" ht="29" thickBot="1" x14ac:dyDescent="0.4">
      <c r="A38" s="10" t="s">
        <v>49</v>
      </c>
      <c r="B38" s="4" t="s">
        <v>87</v>
      </c>
      <c r="C38" s="4" t="s">
        <v>88</v>
      </c>
      <c r="D38" s="4" t="s">
        <v>89</v>
      </c>
      <c r="E38" s="15" t="s">
        <v>90</v>
      </c>
    </row>
    <row r="39" spans="1:5" ht="15" thickBot="1" x14ac:dyDescent="0.4">
      <c r="A39" s="9" t="s">
        <v>17</v>
      </c>
      <c r="B39" s="3" t="s">
        <v>91</v>
      </c>
      <c r="C39" s="3" t="s">
        <v>92</v>
      </c>
      <c r="D39" s="3" t="s">
        <v>93</v>
      </c>
      <c r="E39" s="14" t="s">
        <v>94</v>
      </c>
    </row>
    <row r="40" spans="1:5" ht="29" thickBot="1" x14ac:dyDescent="0.4">
      <c r="A40" s="10" t="s">
        <v>13</v>
      </c>
      <c r="B40" s="4" t="s">
        <v>95</v>
      </c>
      <c r="C40" s="4" t="s">
        <v>96</v>
      </c>
      <c r="D40" s="4" t="s">
        <v>97</v>
      </c>
      <c r="E40" s="15" t="s">
        <v>98</v>
      </c>
    </row>
    <row r="41" spans="1:5" ht="29" thickBot="1" x14ac:dyDescent="0.4">
      <c r="A41" s="9" t="s">
        <v>12</v>
      </c>
      <c r="B41" s="3" t="s">
        <v>86</v>
      </c>
      <c r="C41" s="3" t="s">
        <v>86</v>
      </c>
      <c r="D41" s="3" t="s">
        <v>86</v>
      </c>
      <c r="E41" s="14" t="s">
        <v>86</v>
      </c>
    </row>
    <row r="42" spans="1:5" ht="15" thickBot="1" x14ac:dyDescent="0.4">
      <c r="A42" s="10" t="s">
        <v>44</v>
      </c>
      <c r="B42" s="4" t="s">
        <v>99</v>
      </c>
      <c r="C42" s="4" t="s">
        <v>100</v>
      </c>
      <c r="D42" s="4" t="s">
        <v>101</v>
      </c>
      <c r="E42" s="15" t="s">
        <v>86</v>
      </c>
    </row>
    <row r="43" spans="1:5" ht="15" thickBot="1" x14ac:dyDescent="0.4">
      <c r="A43" s="9" t="s">
        <v>46</v>
      </c>
      <c r="B43" s="3" t="s">
        <v>99</v>
      </c>
      <c r="C43" s="3" t="s">
        <v>102</v>
      </c>
      <c r="D43" s="3" t="s">
        <v>103</v>
      </c>
      <c r="E43" s="14" t="s">
        <v>86</v>
      </c>
    </row>
    <row r="44" spans="1:5" ht="29" thickBot="1" x14ac:dyDescent="0.4">
      <c r="A44" s="10" t="s">
        <v>45</v>
      </c>
      <c r="B44" s="4" t="s">
        <v>104</v>
      </c>
      <c r="C44" s="4" t="s">
        <v>105</v>
      </c>
      <c r="D44" s="4" t="s">
        <v>106</v>
      </c>
      <c r="E44" s="15" t="s">
        <v>107</v>
      </c>
    </row>
    <row r="45" spans="1:5" ht="29" thickBot="1" x14ac:dyDescent="0.4">
      <c r="A45" s="9" t="s">
        <v>47</v>
      </c>
      <c r="B45" s="3" t="s">
        <v>108</v>
      </c>
      <c r="C45" s="3" t="s">
        <v>109</v>
      </c>
      <c r="D45" s="3" t="s">
        <v>110</v>
      </c>
      <c r="E45" s="14" t="s">
        <v>111</v>
      </c>
    </row>
    <row r="46" spans="1:5" ht="15" thickBot="1" x14ac:dyDescent="0.4">
      <c r="A46" s="10" t="s">
        <v>43</v>
      </c>
      <c r="B46" s="4" t="s">
        <v>86</v>
      </c>
      <c r="C46" s="4" t="s">
        <v>86</v>
      </c>
      <c r="D46" s="4" t="s">
        <v>86</v>
      </c>
      <c r="E46" s="15" t="s">
        <v>86</v>
      </c>
    </row>
    <row r="47" spans="1:5" ht="15" thickBot="1" x14ac:dyDescent="0.4">
      <c r="A47" s="9" t="s">
        <v>20</v>
      </c>
      <c r="B47" s="3" t="s">
        <v>86</v>
      </c>
      <c r="C47" s="3" t="s">
        <v>86</v>
      </c>
      <c r="D47" s="3" t="s">
        <v>86</v>
      </c>
      <c r="E47" s="14" t="s">
        <v>86</v>
      </c>
    </row>
    <row r="48" spans="1:5" ht="15" thickBot="1" x14ac:dyDescent="0.4">
      <c r="A48" s="10" t="s">
        <v>41</v>
      </c>
      <c r="B48" s="4" t="s">
        <v>112</v>
      </c>
      <c r="C48" s="4" t="s">
        <v>113</v>
      </c>
      <c r="D48" s="4" t="s">
        <v>114</v>
      </c>
      <c r="E48" s="15" t="s">
        <v>115</v>
      </c>
    </row>
    <row r="49" spans="1:5" x14ac:dyDescent="0.35">
      <c r="A49" s="23" t="s">
        <v>42</v>
      </c>
      <c r="B49" s="24" t="s">
        <v>86</v>
      </c>
      <c r="C49" s="24" t="s">
        <v>86</v>
      </c>
      <c r="D49" s="24" t="s">
        <v>86</v>
      </c>
      <c r="E49" s="25" t="s">
        <v>86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6A4D-F2EE-458B-88C5-C348D339534B}">
  <dimension ref="A3:R113"/>
  <sheetViews>
    <sheetView topLeftCell="A106" workbookViewId="0">
      <selection activeCell="D107" sqref="D107"/>
    </sheetView>
  </sheetViews>
  <sheetFormatPr defaultRowHeight="14.5" x14ac:dyDescent="0.35"/>
  <cols>
    <col min="1" max="1" width="12.36328125" bestFit="1" customWidth="1"/>
    <col min="2" max="2" width="42.90625" bestFit="1" customWidth="1"/>
    <col min="3" max="3" width="37.54296875" bestFit="1" customWidth="1"/>
    <col min="4" max="4" width="31.90625" bestFit="1" customWidth="1"/>
    <col min="5" max="5" width="25.453125" bestFit="1" customWidth="1"/>
    <col min="6" max="6" width="14.08984375" bestFit="1" customWidth="1"/>
    <col min="7" max="7" width="14.81640625" bestFit="1" customWidth="1"/>
    <col min="8" max="8" width="25.36328125" bestFit="1" customWidth="1"/>
    <col min="9" max="9" width="14.26953125" bestFit="1" customWidth="1"/>
    <col min="10" max="10" width="38.90625" bestFit="1" customWidth="1"/>
    <col min="11" max="11" width="35.08984375" bestFit="1" customWidth="1"/>
    <col min="12" max="12" width="13.54296875" bestFit="1" customWidth="1"/>
    <col min="13" max="13" width="26.81640625" bestFit="1" customWidth="1"/>
    <col min="14" max="14" width="42.90625" bestFit="1" customWidth="1"/>
    <col min="15" max="15" width="29.81640625" bestFit="1" customWidth="1"/>
    <col min="16" max="16" width="15.36328125" bestFit="1" customWidth="1"/>
    <col min="17" max="17" width="12.08984375" bestFit="1" customWidth="1"/>
    <col min="18" max="18" width="24.26953125" bestFit="1" customWidth="1"/>
    <col min="19" max="19" width="26.6328125" bestFit="1" customWidth="1"/>
    <col min="20" max="20" width="24.08984375" bestFit="1" customWidth="1"/>
    <col min="21" max="21" width="40.36328125" bestFit="1" customWidth="1"/>
    <col min="22" max="22" width="13.6328125" bestFit="1" customWidth="1"/>
    <col min="23" max="23" width="37.81640625" bestFit="1" customWidth="1"/>
    <col min="24" max="24" width="30.90625" bestFit="1" customWidth="1"/>
    <col min="25" max="25" width="37.54296875" bestFit="1" customWidth="1"/>
    <col min="26" max="26" width="36.6328125" bestFit="1" customWidth="1"/>
    <col min="27" max="27" width="10" bestFit="1" customWidth="1"/>
    <col min="28" max="28" width="11.54296875" bestFit="1" customWidth="1"/>
    <col min="29" max="29" width="10.36328125" bestFit="1" customWidth="1"/>
    <col min="30" max="30" width="41.36328125" bestFit="1" customWidth="1"/>
    <col min="31" max="32" width="13.36328125" bestFit="1" customWidth="1"/>
    <col min="33" max="33" width="14.90625" bestFit="1" customWidth="1"/>
    <col min="34" max="34" width="19.36328125" bestFit="1" customWidth="1"/>
    <col min="35" max="35" width="31.6328125" bestFit="1" customWidth="1"/>
    <col min="36" max="36" width="18.7265625" bestFit="1" customWidth="1"/>
    <col min="37" max="37" width="15.36328125" bestFit="1" customWidth="1"/>
    <col min="38" max="38" width="30.26953125" bestFit="1" customWidth="1"/>
    <col min="39" max="39" width="22.90625" bestFit="1" customWidth="1"/>
    <col min="40" max="40" width="29.54296875" bestFit="1" customWidth="1"/>
    <col min="41" max="41" width="33.7265625" bestFit="1" customWidth="1"/>
    <col min="42" max="42" width="23.1796875" bestFit="1" customWidth="1"/>
    <col min="43" max="43" width="48.81640625" bestFit="1" customWidth="1"/>
    <col min="44" max="44" width="32.453125" bestFit="1" customWidth="1"/>
    <col min="45" max="45" width="43.81640625" bestFit="1" customWidth="1"/>
    <col min="46" max="46" width="19.54296875" bestFit="1" customWidth="1"/>
    <col min="47" max="47" width="45.08984375" bestFit="1" customWidth="1"/>
    <col min="48" max="48" width="14.1796875" bestFit="1" customWidth="1"/>
    <col min="49" max="49" width="23.90625" bestFit="1" customWidth="1"/>
  </cols>
  <sheetData>
    <row r="3" spans="1:18" x14ac:dyDescent="0.35">
      <c r="A3" s="26" t="s">
        <v>0</v>
      </c>
      <c r="B3" s="26" t="s">
        <v>1</v>
      </c>
    </row>
    <row r="4" spans="1:18" x14ac:dyDescent="0.35">
      <c r="A4" s="26" t="s">
        <v>2</v>
      </c>
      <c r="B4" t="s">
        <v>16</v>
      </c>
      <c r="C4" t="s">
        <v>27</v>
      </c>
      <c r="Q4">
        <f>GETPIVOTDATA("Giá trị",$A$3,"Chỉ tiêu","Doanh thu thuần về bán hàng và cung cấp dịch vụ","Năm","2025")</f>
        <v>63645.89</v>
      </c>
      <c r="R4" t="str">
        <f>TEXT(Q4, "#.##0,00") &amp; " tỷ"</f>
        <v>63.645,89 tỷ</v>
      </c>
    </row>
    <row r="5" spans="1:18" x14ac:dyDescent="0.35">
      <c r="A5" s="1">
        <v>2022</v>
      </c>
      <c r="B5" s="27">
        <v>59956.25</v>
      </c>
      <c r="C5" s="27">
        <v>8577.58</v>
      </c>
      <c r="Q5">
        <f>GETPIVOTDATA("Giá trị",$A$3,"Chỉ tiêu","Lợi nhuận sau thuế thu nhập doanh nghiệp","Năm","2025")</f>
        <v>9413.59</v>
      </c>
      <c r="R5" t="str">
        <f>TEXT(Q5,"#.##0,00")&amp;" tỷ"</f>
        <v>9.413,59 tỷ</v>
      </c>
    </row>
    <row r="6" spans="1:18" x14ac:dyDescent="0.35">
      <c r="A6" s="1">
        <v>2023</v>
      </c>
      <c r="B6" s="27">
        <v>60368.92</v>
      </c>
      <c r="C6" s="27">
        <v>9019.35</v>
      </c>
    </row>
    <row r="7" spans="1:18" x14ac:dyDescent="0.35">
      <c r="A7" s="1">
        <v>2024</v>
      </c>
      <c r="B7" s="27">
        <v>61782.61</v>
      </c>
      <c r="C7" s="27">
        <v>9452.89</v>
      </c>
    </row>
    <row r="8" spans="1:18" x14ac:dyDescent="0.35">
      <c r="A8" s="1">
        <v>2025</v>
      </c>
      <c r="B8" s="27">
        <v>63645.89</v>
      </c>
      <c r="C8" s="27">
        <v>9413.59</v>
      </c>
    </row>
    <row r="57" spans="1:2" x14ac:dyDescent="0.35">
      <c r="A57" s="26" t="s">
        <v>0</v>
      </c>
      <c r="B57" s="26" t="s">
        <v>1</v>
      </c>
    </row>
    <row r="58" spans="1:2" x14ac:dyDescent="0.35">
      <c r="A58" s="26" t="s">
        <v>2</v>
      </c>
      <c r="B58" t="s">
        <v>6</v>
      </c>
    </row>
    <row r="59" spans="1:2" x14ac:dyDescent="0.35">
      <c r="A59" s="1">
        <v>2022</v>
      </c>
      <c r="B59" s="27">
        <v>742.67</v>
      </c>
    </row>
    <row r="60" spans="1:2" x14ac:dyDescent="0.35">
      <c r="A60" s="1">
        <v>2023</v>
      </c>
      <c r="B60" s="27">
        <v>831.23</v>
      </c>
    </row>
    <row r="61" spans="1:2" x14ac:dyDescent="0.35">
      <c r="A61" s="1">
        <v>2024</v>
      </c>
      <c r="B61" s="27">
        <v>1373.19</v>
      </c>
    </row>
    <row r="62" spans="1:2" x14ac:dyDescent="0.35">
      <c r="A62" s="1">
        <v>2025</v>
      </c>
      <c r="B62" s="27">
        <v>957.07</v>
      </c>
    </row>
    <row r="108" spans="1:3" x14ac:dyDescent="0.35">
      <c r="A108" s="26" t="s">
        <v>0</v>
      </c>
      <c r="B108" s="26" t="s">
        <v>1</v>
      </c>
    </row>
    <row r="109" spans="1:3" x14ac:dyDescent="0.35">
      <c r="A109" s="26" t="s">
        <v>2</v>
      </c>
      <c r="B109" t="s">
        <v>45</v>
      </c>
      <c r="C109" t="s">
        <v>47</v>
      </c>
    </row>
    <row r="110" spans="1:3" x14ac:dyDescent="0.35">
      <c r="A110" s="1">
        <v>2022</v>
      </c>
      <c r="B110">
        <v>29.38</v>
      </c>
      <c r="C110">
        <v>19.75</v>
      </c>
    </row>
    <row r="111" spans="1:3" x14ac:dyDescent="0.35">
      <c r="A111" s="1">
        <v>2023</v>
      </c>
      <c r="B111">
        <v>25.34</v>
      </c>
      <c r="C111">
        <v>16.850000000000001</v>
      </c>
    </row>
    <row r="112" spans="1:3" x14ac:dyDescent="0.35">
      <c r="A112" s="1">
        <v>2024</v>
      </c>
      <c r="B112">
        <v>25.96</v>
      </c>
      <c r="C112">
        <v>17.059999999999999</v>
      </c>
    </row>
    <row r="113" spans="1:3" x14ac:dyDescent="0.35">
      <c r="A113" s="1">
        <v>2025</v>
      </c>
      <c r="B113">
        <v>30.67</v>
      </c>
      <c r="C113">
        <v>17.649999999999999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915C-E627-47F7-8042-6E71CC1896F2}">
  <dimension ref="A1"/>
  <sheetViews>
    <sheetView showGridLines="0" tabSelected="1" zoomScaleNormal="100" workbookViewId="0">
      <selection activeCell="M22" sqref="M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D5492A-342B-4A28-B6ED-CAE3D5132F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BCTC_Tom_Tat</vt:lpstr>
      <vt:lpstr>Xử lí</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Vân Anh Tạ</dc:creator>
  <cp:lastModifiedBy>Vân Anh Tạ</cp:lastModifiedBy>
  <dcterms:created xsi:type="dcterms:W3CDTF">2026-09-15T15:23:51Z</dcterms:created>
  <dcterms:modified xsi:type="dcterms:W3CDTF">2026-09-17T14:07:23Z</dcterms:modified>
</cp:coreProperties>
</file>